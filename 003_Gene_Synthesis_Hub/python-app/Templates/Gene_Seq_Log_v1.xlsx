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20" yWindow="-120" windowWidth="19440" windowHeight="10230"/>
  </bookViews>
  <sheets>
    <sheet name="Genes Sequenced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B3" i="1" l="1"/>
  <c r="C3" i="1"/>
  <c r="R3" i="1" s="1"/>
  <c r="H3" i="1"/>
  <c r="J3" i="1"/>
  <c r="L3" i="1" s="1"/>
  <c r="K3" i="1"/>
  <c r="N3" i="1"/>
  <c r="O3" i="1"/>
  <c r="T3" i="1"/>
  <c r="U3" i="1"/>
  <c r="B4" i="1"/>
  <c r="C4" i="1"/>
  <c r="R4" i="1" s="1"/>
  <c r="H4" i="1"/>
  <c r="J4" i="1"/>
  <c r="L4" i="1" s="1"/>
  <c r="K4" i="1"/>
  <c r="N4" i="1"/>
  <c r="O4" i="1"/>
  <c r="S4" i="1"/>
  <c r="T4" i="1"/>
  <c r="U4" i="1"/>
  <c r="B5" i="1"/>
  <c r="C5" i="1"/>
  <c r="P5" i="1" s="1"/>
  <c r="H5" i="1"/>
  <c r="J5" i="1"/>
  <c r="M5" i="1" s="1"/>
  <c r="N5" i="1"/>
  <c r="O5" i="1"/>
  <c r="R5" i="1"/>
  <c r="T5" i="1"/>
  <c r="U5" i="1"/>
  <c r="V5" i="1"/>
  <c r="B6" i="1"/>
  <c r="C6" i="1"/>
  <c r="Q6" i="1" s="1"/>
  <c r="H6" i="1"/>
  <c r="J6" i="1"/>
  <c r="L6" i="1" s="1"/>
  <c r="K6" i="1"/>
  <c r="N6" i="1"/>
  <c r="O6" i="1"/>
  <c r="T6" i="1"/>
  <c r="U6" i="1"/>
  <c r="B7" i="1"/>
  <c r="C7" i="1"/>
  <c r="R7" i="1" s="1"/>
  <c r="H7" i="1"/>
  <c r="J7" i="1"/>
  <c r="L7" i="1" s="1"/>
  <c r="K7" i="1"/>
  <c r="N7" i="1"/>
  <c r="O7" i="1"/>
  <c r="T7" i="1"/>
  <c r="U7" i="1"/>
  <c r="W7" i="1"/>
  <c r="B8" i="1"/>
  <c r="C8" i="1"/>
  <c r="R8" i="1" s="1"/>
  <c r="H8" i="1"/>
  <c r="J8" i="1"/>
  <c r="K8" i="1"/>
  <c r="I8" i="1" s="1"/>
  <c r="L8" i="1"/>
  <c r="M8" i="1"/>
  <c r="N8" i="1"/>
  <c r="O8" i="1"/>
  <c r="P8" i="1"/>
  <c r="S8" i="1"/>
  <c r="T8" i="1"/>
  <c r="U8" i="1"/>
  <c r="W8" i="1"/>
  <c r="B9" i="1"/>
  <c r="C9" i="1"/>
  <c r="R9" i="1" s="1"/>
  <c r="H9" i="1"/>
  <c r="J9" i="1"/>
  <c r="L9" i="1" s="1"/>
  <c r="K9" i="1"/>
  <c r="N9" i="1"/>
  <c r="O9" i="1"/>
  <c r="S9" i="1"/>
  <c r="T9" i="1"/>
  <c r="U9" i="1"/>
  <c r="W9" i="1"/>
  <c r="B10" i="1"/>
  <c r="C10" i="1"/>
  <c r="Q10" i="1" s="1"/>
  <c r="H10" i="1"/>
  <c r="J10" i="1"/>
  <c r="K10" i="1"/>
  <c r="I10" i="1" s="1"/>
  <c r="L10" i="1"/>
  <c r="M10" i="1"/>
  <c r="N10" i="1"/>
  <c r="O10" i="1"/>
  <c r="R10" i="1"/>
  <c r="S10" i="1"/>
  <c r="T10" i="1"/>
  <c r="U10" i="1"/>
  <c r="V10" i="1"/>
  <c r="W10" i="1"/>
  <c r="B11" i="1"/>
  <c r="C11" i="1"/>
  <c r="R11" i="1" s="1"/>
  <c r="H11" i="1"/>
  <c r="J11" i="1"/>
  <c r="K11" i="1"/>
  <c r="I11" i="1" s="1"/>
  <c r="L11" i="1"/>
  <c r="M11" i="1"/>
  <c r="N11" i="1"/>
  <c r="O11" i="1"/>
  <c r="S11" i="1"/>
  <c r="T11" i="1"/>
  <c r="U11" i="1"/>
  <c r="W11" i="1"/>
  <c r="B12" i="1"/>
  <c r="C12" i="1"/>
  <c r="R12" i="1" s="1"/>
  <c r="H12" i="1"/>
  <c r="J12" i="1"/>
  <c r="M12" i="1" s="1"/>
  <c r="N12" i="1"/>
  <c r="O12" i="1"/>
  <c r="S12" i="1"/>
  <c r="T12" i="1"/>
  <c r="U12" i="1"/>
  <c r="X12" i="1"/>
  <c r="B13" i="1"/>
  <c r="C13" i="1"/>
  <c r="P13" i="1" s="1"/>
  <c r="H13" i="1"/>
  <c r="J13" i="1"/>
  <c r="K13" i="1" s="1"/>
  <c r="I13" i="1" s="1"/>
  <c r="L13" i="1"/>
  <c r="M13" i="1"/>
  <c r="N13" i="1"/>
  <c r="O13" i="1"/>
  <c r="Q13" i="1"/>
  <c r="R13" i="1"/>
  <c r="T13" i="1"/>
  <c r="U13" i="1"/>
  <c r="V13" i="1"/>
  <c r="X13" i="1"/>
  <c r="B14" i="1"/>
  <c r="C14" i="1"/>
  <c r="Q14" i="1" s="1"/>
  <c r="H14" i="1"/>
  <c r="J14" i="1"/>
  <c r="M14" i="1" s="1"/>
  <c r="N14" i="1"/>
  <c r="O14" i="1"/>
  <c r="T14" i="1"/>
  <c r="U14" i="1"/>
  <c r="B15" i="1"/>
  <c r="C15" i="1"/>
  <c r="R15" i="1" s="1"/>
  <c r="H15" i="1"/>
  <c r="J15" i="1"/>
  <c r="M15" i="1" s="1"/>
  <c r="N15" i="1"/>
  <c r="O15" i="1"/>
  <c r="T15" i="1"/>
  <c r="U15" i="1"/>
  <c r="B16" i="1"/>
  <c r="C16" i="1"/>
  <c r="R16" i="1" s="1"/>
  <c r="H16" i="1"/>
  <c r="J16" i="1"/>
  <c r="K16" i="1"/>
  <c r="I16" i="1" s="1"/>
  <c r="L16" i="1"/>
  <c r="M16" i="1"/>
  <c r="N16" i="1"/>
  <c r="O16" i="1"/>
  <c r="P16" i="1"/>
  <c r="S16" i="1"/>
  <c r="T16" i="1"/>
  <c r="U16" i="1"/>
  <c r="W16" i="1"/>
  <c r="B17" i="1"/>
  <c r="C17" i="1"/>
  <c r="R17" i="1" s="1"/>
  <c r="H17" i="1"/>
  <c r="J17" i="1"/>
  <c r="L17" i="1" s="1"/>
  <c r="K17" i="1"/>
  <c r="N17" i="1"/>
  <c r="O17" i="1"/>
  <c r="S17" i="1"/>
  <c r="T17" i="1"/>
  <c r="U17" i="1"/>
  <c r="W17" i="1"/>
  <c r="B18" i="1"/>
  <c r="C18" i="1"/>
  <c r="Q18" i="1" s="1"/>
  <c r="H18" i="1"/>
  <c r="J18" i="1"/>
  <c r="K18" i="1"/>
  <c r="I18" i="1" s="1"/>
  <c r="L18" i="1"/>
  <c r="M18" i="1"/>
  <c r="N18" i="1"/>
  <c r="O18" i="1"/>
  <c r="R18" i="1"/>
  <c r="S18" i="1"/>
  <c r="T18" i="1"/>
  <c r="U18" i="1"/>
  <c r="V18" i="1"/>
  <c r="W18" i="1"/>
  <c r="B19" i="1"/>
  <c r="C19" i="1"/>
  <c r="R19" i="1" s="1"/>
  <c r="H19" i="1"/>
  <c r="J19" i="1"/>
  <c r="K19" i="1"/>
  <c r="I19" i="1" s="1"/>
  <c r="L19" i="1"/>
  <c r="M19" i="1"/>
  <c r="N19" i="1"/>
  <c r="O19" i="1"/>
  <c r="S19" i="1"/>
  <c r="T19" i="1"/>
  <c r="U19" i="1"/>
  <c r="W19" i="1"/>
  <c r="B20" i="1"/>
  <c r="C20" i="1"/>
  <c r="R20" i="1" s="1"/>
  <c r="H20" i="1"/>
  <c r="J20" i="1"/>
  <c r="M20" i="1" s="1"/>
  <c r="N20" i="1"/>
  <c r="O20" i="1"/>
  <c r="S20" i="1"/>
  <c r="T20" i="1"/>
  <c r="U20" i="1"/>
  <c r="X20" i="1"/>
  <c r="B21" i="1"/>
  <c r="C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B22" i="1"/>
  <c r="C22" i="1"/>
  <c r="Q22" i="1" s="1"/>
  <c r="H22" i="1"/>
  <c r="I22" i="1"/>
  <c r="J22" i="1"/>
  <c r="K22" i="1"/>
  <c r="L22" i="1"/>
  <c r="M22" i="1"/>
  <c r="N22" i="1"/>
  <c r="O22" i="1"/>
  <c r="R22" i="1"/>
  <c r="S22" i="1"/>
  <c r="T22" i="1"/>
  <c r="U22" i="1"/>
  <c r="V22" i="1"/>
  <c r="W22" i="1"/>
  <c r="B23" i="1"/>
  <c r="C23" i="1"/>
  <c r="R23" i="1" s="1"/>
  <c r="H23" i="1"/>
  <c r="I23" i="1"/>
  <c r="J23" i="1"/>
  <c r="K23" i="1"/>
  <c r="L23" i="1"/>
  <c r="M23" i="1"/>
  <c r="N23" i="1"/>
  <c r="O23" i="1"/>
  <c r="S23" i="1"/>
  <c r="T23" i="1"/>
  <c r="U23" i="1"/>
  <c r="W23" i="1"/>
  <c r="B24" i="1"/>
  <c r="C24" i="1"/>
  <c r="R24" i="1" s="1"/>
  <c r="H24" i="1"/>
  <c r="I24" i="1"/>
  <c r="J24" i="1"/>
  <c r="K24" i="1"/>
  <c r="L24" i="1"/>
  <c r="M24" i="1"/>
  <c r="N24" i="1"/>
  <c r="O24" i="1"/>
  <c r="P24" i="1"/>
  <c r="Q24" i="1"/>
  <c r="S24" i="1"/>
  <c r="T24" i="1"/>
  <c r="U24" i="1"/>
  <c r="W24" i="1"/>
  <c r="X24" i="1"/>
  <c r="B25" i="1"/>
  <c r="C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B26" i="1"/>
  <c r="C26" i="1"/>
  <c r="Q26" i="1" s="1"/>
  <c r="H26" i="1"/>
  <c r="I26" i="1"/>
  <c r="J26" i="1"/>
  <c r="K26" i="1"/>
  <c r="L26" i="1"/>
  <c r="M26" i="1"/>
  <c r="N26" i="1"/>
  <c r="O26" i="1"/>
  <c r="R26" i="1"/>
  <c r="S26" i="1"/>
  <c r="T26" i="1"/>
  <c r="U26" i="1"/>
  <c r="V26" i="1"/>
  <c r="W26" i="1"/>
  <c r="B27" i="1"/>
  <c r="C27" i="1"/>
  <c r="R27" i="1" s="1"/>
  <c r="H27" i="1"/>
  <c r="I27" i="1"/>
  <c r="J27" i="1"/>
  <c r="K27" i="1"/>
  <c r="L27" i="1"/>
  <c r="M27" i="1"/>
  <c r="N27" i="1"/>
  <c r="O27" i="1"/>
  <c r="S27" i="1"/>
  <c r="T27" i="1"/>
  <c r="U27" i="1"/>
  <c r="W27" i="1"/>
  <c r="B28" i="1"/>
  <c r="C28" i="1"/>
  <c r="R28" i="1" s="1"/>
  <c r="H28" i="1"/>
  <c r="I28" i="1"/>
  <c r="J28" i="1"/>
  <c r="K28" i="1"/>
  <c r="L28" i="1"/>
  <c r="M28" i="1"/>
  <c r="N28" i="1"/>
  <c r="O28" i="1"/>
  <c r="P28" i="1"/>
  <c r="Q28" i="1"/>
  <c r="S28" i="1"/>
  <c r="T28" i="1"/>
  <c r="U28" i="1"/>
  <c r="W28" i="1"/>
  <c r="X28" i="1"/>
  <c r="B29" i="1"/>
  <c r="C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B30" i="1"/>
  <c r="C30" i="1"/>
  <c r="Q30" i="1" s="1"/>
  <c r="H30" i="1"/>
  <c r="I30" i="1"/>
  <c r="J30" i="1"/>
  <c r="K30" i="1"/>
  <c r="L30" i="1"/>
  <c r="M30" i="1"/>
  <c r="N30" i="1"/>
  <c r="O30" i="1"/>
  <c r="R30" i="1"/>
  <c r="S30" i="1"/>
  <c r="T30" i="1"/>
  <c r="U30" i="1"/>
  <c r="V30" i="1"/>
  <c r="W30" i="1"/>
  <c r="B31" i="1"/>
  <c r="C31" i="1"/>
  <c r="R31" i="1" s="1"/>
  <c r="H31" i="1"/>
  <c r="I31" i="1"/>
  <c r="J31" i="1"/>
  <c r="K31" i="1"/>
  <c r="L31" i="1"/>
  <c r="M31" i="1"/>
  <c r="N31" i="1"/>
  <c r="O31" i="1"/>
  <c r="S31" i="1"/>
  <c r="T31" i="1"/>
  <c r="U31" i="1"/>
  <c r="W31" i="1"/>
  <c r="B32" i="1"/>
  <c r="C32" i="1"/>
  <c r="R32" i="1" s="1"/>
  <c r="H32" i="1"/>
  <c r="I32" i="1"/>
  <c r="J32" i="1"/>
  <c r="K32" i="1"/>
  <c r="L32" i="1"/>
  <c r="M32" i="1"/>
  <c r="N32" i="1"/>
  <c r="O32" i="1"/>
  <c r="P32" i="1"/>
  <c r="Q32" i="1"/>
  <c r="S32" i="1"/>
  <c r="T32" i="1"/>
  <c r="U32" i="1"/>
  <c r="W32" i="1"/>
  <c r="X32" i="1"/>
  <c r="B33" i="1"/>
  <c r="C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B34" i="1"/>
  <c r="C34" i="1"/>
  <c r="Q34" i="1" s="1"/>
  <c r="H34" i="1"/>
  <c r="I34" i="1"/>
  <c r="J34" i="1"/>
  <c r="K34" i="1"/>
  <c r="L34" i="1"/>
  <c r="M34" i="1"/>
  <c r="N34" i="1"/>
  <c r="O34" i="1"/>
  <c r="R34" i="1"/>
  <c r="S34" i="1"/>
  <c r="T34" i="1"/>
  <c r="U34" i="1"/>
  <c r="V34" i="1"/>
  <c r="W34" i="1"/>
  <c r="B35" i="1"/>
  <c r="C35" i="1"/>
  <c r="R35" i="1" s="1"/>
  <c r="H35" i="1"/>
  <c r="I35" i="1"/>
  <c r="J35" i="1"/>
  <c r="K35" i="1"/>
  <c r="L35" i="1"/>
  <c r="M35" i="1"/>
  <c r="N35" i="1"/>
  <c r="O35" i="1"/>
  <c r="S35" i="1"/>
  <c r="T35" i="1"/>
  <c r="U35" i="1"/>
  <c r="W35" i="1"/>
  <c r="B36" i="1"/>
  <c r="C36" i="1"/>
  <c r="R36" i="1" s="1"/>
  <c r="H36" i="1"/>
  <c r="I36" i="1"/>
  <c r="J36" i="1"/>
  <c r="K36" i="1"/>
  <c r="L36" i="1"/>
  <c r="M36" i="1"/>
  <c r="N36" i="1"/>
  <c r="O36" i="1"/>
  <c r="P36" i="1"/>
  <c r="Q36" i="1"/>
  <c r="S36" i="1"/>
  <c r="T36" i="1"/>
  <c r="U36" i="1"/>
  <c r="W36" i="1"/>
  <c r="X36" i="1"/>
  <c r="B37" i="1"/>
  <c r="C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B38" i="1"/>
  <c r="C38" i="1"/>
  <c r="Q38" i="1" s="1"/>
  <c r="H38" i="1"/>
  <c r="I38" i="1"/>
  <c r="J38" i="1"/>
  <c r="K38" i="1"/>
  <c r="L38" i="1"/>
  <c r="M38" i="1"/>
  <c r="N38" i="1"/>
  <c r="O38" i="1"/>
  <c r="R38" i="1"/>
  <c r="S38" i="1"/>
  <c r="T38" i="1"/>
  <c r="U38" i="1"/>
  <c r="V38" i="1"/>
  <c r="W38" i="1"/>
  <c r="B39" i="1"/>
  <c r="C39" i="1"/>
  <c r="R39" i="1" s="1"/>
  <c r="H39" i="1"/>
  <c r="I39" i="1"/>
  <c r="J39" i="1"/>
  <c r="K39" i="1"/>
  <c r="L39" i="1"/>
  <c r="M39" i="1"/>
  <c r="N39" i="1"/>
  <c r="O39" i="1"/>
  <c r="S39" i="1"/>
  <c r="T39" i="1"/>
  <c r="U39" i="1"/>
  <c r="W39" i="1"/>
  <c r="B40" i="1"/>
  <c r="C40" i="1"/>
  <c r="R40" i="1" s="1"/>
  <c r="H40" i="1"/>
  <c r="I40" i="1"/>
  <c r="J40" i="1"/>
  <c r="K40" i="1"/>
  <c r="L40" i="1"/>
  <c r="M40" i="1"/>
  <c r="N40" i="1"/>
  <c r="O40" i="1"/>
  <c r="P40" i="1"/>
  <c r="Q40" i="1"/>
  <c r="S40" i="1"/>
  <c r="T40" i="1"/>
  <c r="U40" i="1"/>
  <c r="W40" i="1"/>
  <c r="X40" i="1"/>
  <c r="B41" i="1"/>
  <c r="C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B42" i="1"/>
  <c r="C42" i="1"/>
  <c r="Q42" i="1" s="1"/>
  <c r="H42" i="1"/>
  <c r="I42" i="1"/>
  <c r="J42" i="1"/>
  <c r="K42" i="1"/>
  <c r="L42" i="1"/>
  <c r="M42" i="1"/>
  <c r="N42" i="1"/>
  <c r="O42" i="1"/>
  <c r="R42" i="1"/>
  <c r="S42" i="1"/>
  <c r="T42" i="1"/>
  <c r="U42" i="1"/>
  <c r="V42" i="1"/>
  <c r="W42" i="1"/>
  <c r="B43" i="1"/>
  <c r="C43" i="1"/>
  <c r="R43" i="1" s="1"/>
  <c r="H43" i="1"/>
  <c r="I43" i="1"/>
  <c r="J43" i="1"/>
  <c r="K43" i="1"/>
  <c r="L43" i="1"/>
  <c r="M43" i="1"/>
  <c r="N43" i="1"/>
  <c r="O43" i="1"/>
  <c r="S43" i="1"/>
  <c r="T43" i="1"/>
  <c r="U43" i="1"/>
  <c r="W43" i="1"/>
  <c r="B44" i="1"/>
  <c r="C44" i="1"/>
  <c r="R44" i="1" s="1"/>
  <c r="H44" i="1"/>
  <c r="I44" i="1"/>
  <c r="J44" i="1"/>
  <c r="K44" i="1"/>
  <c r="L44" i="1"/>
  <c r="M44" i="1"/>
  <c r="N44" i="1"/>
  <c r="O44" i="1"/>
  <c r="P44" i="1"/>
  <c r="Q44" i="1"/>
  <c r="S44" i="1"/>
  <c r="T44" i="1"/>
  <c r="U44" i="1"/>
  <c r="W44" i="1"/>
  <c r="X44" i="1"/>
  <c r="B45" i="1"/>
  <c r="C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B46" i="1"/>
  <c r="C46" i="1"/>
  <c r="Q46" i="1" s="1"/>
  <c r="H46" i="1"/>
  <c r="I46" i="1"/>
  <c r="J46" i="1"/>
  <c r="K46" i="1"/>
  <c r="L46" i="1"/>
  <c r="M46" i="1"/>
  <c r="N46" i="1"/>
  <c r="O46" i="1"/>
  <c r="R46" i="1"/>
  <c r="S46" i="1"/>
  <c r="T46" i="1"/>
  <c r="U46" i="1"/>
  <c r="V46" i="1"/>
  <c r="W46" i="1"/>
  <c r="B47" i="1"/>
  <c r="C47" i="1"/>
  <c r="H47" i="1"/>
  <c r="I47" i="1"/>
  <c r="J47" i="1"/>
  <c r="K47" i="1"/>
  <c r="L47" i="1"/>
  <c r="M47" i="1"/>
  <c r="N47" i="1"/>
  <c r="O47" i="1"/>
  <c r="S47" i="1"/>
  <c r="T47" i="1"/>
  <c r="U47" i="1"/>
  <c r="W47" i="1"/>
  <c r="B48" i="1"/>
  <c r="C48" i="1"/>
  <c r="R48" i="1" s="1"/>
  <c r="H48" i="1"/>
  <c r="I48" i="1"/>
  <c r="J48" i="1"/>
  <c r="K48" i="1"/>
  <c r="L48" i="1"/>
  <c r="M48" i="1"/>
  <c r="N48" i="1"/>
  <c r="O48" i="1"/>
  <c r="P48" i="1"/>
  <c r="Q48" i="1"/>
  <c r="S48" i="1"/>
  <c r="T48" i="1"/>
  <c r="U48" i="1"/>
  <c r="W48" i="1"/>
  <c r="X48" i="1"/>
  <c r="B49" i="1"/>
  <c r="C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B50" i="1"/>
  <c r="C50" i="1"/>
  <c r="R50" i="1" s="1"/>
  <c r="H50" i="1"/>
  <c r="I50" i="1"/>
  <c r="J50" i="1"/>
  <c r="K50" i="1"/>
  <c r="L50" i="1"/>
  <c r="M50" i="1"/>
  <c r="N50" i="1"/>
  <c r="O50" i="1"/>
  <c r="S50" i="1"/>
  <c r="T50" i="1"/>
  <c r="U50" i="1"/>
  <c r="W50" i="1"/>
  <c r="B51" i="1"/>
  <c r="C51" i="1"/>
  <c r="P51" i="1" s="1"/>
  <c r="H51" i="1"/>
  <c r="I51" i="1"/>
  <c r="J51" i="1"/>
  <c r="K51" i="1"/>
  <c r="L51" i="1"/>
  <c r="M51" i="1"/>
  <c r="N51" i="1"/>
  <c r="O51" i="1"/>
  <c r="S51" i="1"/>
  <c r="T51" i="1"/>
  <c r="U51" i="1"/>
  <c r="W51" i="1"/>
  <c r="B52" i="1"/>
  <c r="C52" i="1"/>
  <c r="R52" i="1" s="1"/>
  <c r="H52" i="1"/>
  <c r="I52" i="1"/>
  <c r="J52" i="1"/>
  <c r="K52" i="1"/>
  <c r="L52" i="1"/>
  <c r="M52" i="1"/>
  <c r="N52" i="1"/>
  <c r="O52" i="1"/>
  <c r="P52" i="1"/>
  <c r="Q52" i="1"/>
  <c r="S52" i="1"/>
  <c r="T52" i="1"/>
  <c r="U52" i="1"/>
  <c r="W52" i="1"/>
  <c r="X52" i="1"/>
  <c r="B53" i="1"/>
  <c r="C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B54" i="1"/>
  <c r="C54" i="1"/>
  <c r="R54" i="1" s="1"/>
  <c r="H54" i="1"/>
  <c r="I54" i="1"/>
  <c r="J54" i="1"/>
  <c r="K54" i="1"/>
  <c r="L54" i="1"/>
  <c r="M54" i="1"/>
  <c r="N54" i="1"/>
  <c r="O54" i="1"/>
  <c r="S54" i="1"/>
  <c r="T54" i="1"/>
  <c r="U54" i="1"/>
  <c r="W54" i="1"/>
  <c r="B55" i="1"/>
  <c r="C55" i="1"/>
  <c r="Q55" i="1" s="1"/>
  <c r="H55" i="1"/>
  <c r="I55" i="1"/>
  <c r="J55" i="1"/>
  <c r="K55" i="1"/>
  <c r="L55" i="1"/>
  <c r="M55" i="1"/>
  <c r="N55" i="1"/>
  <c r="O55" i="1"/>
  <c r="S55" i="1"/>
  <c r="T55" i="1"/>
  <c r="U55" i="1"/>
  <c r="W55" i="1"/>
  <c r="X55" i="1"/>
  <c r="B56" i="1"/>
  <c r="C56" i="1"/>
  <c r="P56" i="1" s="1"/>
  <c r="H56" i="1"/>
  <c r="I56" i="1"/>
  <c r="J56" i="1"/>
  <c r="K56" i="1"/>
  <c r="L56" i="1"/>
  <c r="M56" i="1"/>
  <c r="N56" i="1"/>
  <c r="O56" i="1"/>
  <c r="Q56" i="1"/>
  <c r="S56" i="1"/>
  <c r="T56" i="1"/>
  <c r="U56" i="1"/>
  <c r="W56" i="1"/>
  <c r="B57" i="1"/>
  <c r="C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B58" i="1"/>
  <c r="C58" i="1"/>
  <c r="Q58" i="1" s="1"/>
  <c r="H58" i="1"/>
  <c r="I58" i="1"/>
  <c r="J58" i="1"/>
  <c r="K58" i="1"/>
  <c r="L58" i="1"/>
  <c r="M58" i="1"/>
  <c r="N58" i="1"/>
  <c r="O58" i="1"/>
  <c r="R58" i="1"/>
  <c r="S58" i="1"/>
  <c r="T58" i="1"/>
  <c r="U58" i="1"/>
  <c r="V58" i="1"/>
  <c r="W58" i="1"/>
  <c r="B59" i="1"/>
  <c r="C59" i="1"/>
  <c r="Q59" i="1" s="1"/>
  <c r="H59" i="1"/>
  <c r="I59" i="1"/>
  <c r="J59" i="1"/>
  <c r="K59" i="1"/>
  <c r="L59" i="1"/>
  <c r="M59" i="1"/>
  <c r="N59" i="1"/>
  <c r="O59" i="1"/>
  <c r="P59" i="1"/>
  <c r="R59" i="1"/>
  <c r="S59" i="1"/>
  <c r="T59" i="1"/>
  <c r="U59" i="1"/>
  <c r="V59" i="1"/>
  <c r="W59" i="1"/>
  <c r="X59" i="1"/>
  <c r="B60" i="1"/>
  <c r="C60" i="1"/>
  <c r="Q60" i="1" s="1"/>
  <c r="H60" i="1"/>
  <c r="I60" i="1"/>
  <c r="J60" i="1"/>
  <c r="K60" i="1"/>
  <c r="L60" i="1"/>
  <c r="M60" i="1"/>
  <c r="N60" i="1"/>
  <c r="O60" i="1"/>
  <c r="P60" i="1"/>
  <c r="S60" i="1"/>
  <c r="T60" i="1"/>
  <c r="U60" i="1"/>
  <c r="W60" i="1"/>
  <c r="X60" i="1"/>
  <c r="B61" i="1"/>
  <c r="C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B62" i="1"/>
  <c r="C62" i="1"/>
  <c r="R62" i="1" s="1"/>
  <c r="H62" i="1"/>
  <c r="I62" i="1"/>
  <c r="J62" i="1"/>
  <c r="K62" i="1"/>
  <c r="L62" i="1"/>
  <c r="M62" i="1"/>
  <c r="N62" i="1"/>
  <c r="O62" i="1"/>
  <c r="Q62" i="1"/>
  <c r="S62" i="1"/>
  <c r="T62" i="1"/>
  <c r="U62" i="1"/>
  <c r="W62" i="1"/>
  <c r="B63" i="1"/>
  <c r="C63" i="1"/>
  <c r="Q63" i="1" s="1"/>
  <c r="H63" i="1"/>
  <c r="I63" i="1"/>
  <c r="J63" i="1"/>
  <c r="K63" i="1"/>
  <c r="L63" i="1"/>
  <c r="M63" i="1"/>
  <c r="N63" i="1"/>
  <c r="O63" i="1"/>
  <c r="R63" i="1"/>
  <c r="S63" i="1"/>
  <c r="T63" i="1"/>
  <c r="U63" i="1"/>
  <c r="V63" i="1"/>
  <c r="W63" i="1"/>
  <c r="X63" i="1"/>
  <c r="B64" i="1"/>
  <c r="C64" i="1"/>
  <c r="P64" i="1" s="1"/>
  <c r="H64" i="1"/>
  <c r="I64" i="1"/>
  <c r="J64" i="1"/>
  <c r="K64" i="1"/>
  <c r="L64" i="1"/>
  <c r="M64" i="1"/>
  <c r="N64" i="1"/>
  <c r="O64" i="1"/>
  <c r="S64" i="1"/>
  <c r="T64" i="1"/>
  <c r="U64" i="1"/>
  <c r="W64" i="1"/>
  <c r="B65" i="1"/>
  <c r="C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B66" i="1"/>
  <c r="C66" i="1"/>
  <c r="Q66" i="1" s="1"/>
  <c r="H66" i="1"/>
  <c r="I66" i="1"/>
  <c r="J66" i="1"/>
  <c r="K66" i="1"/>
  <c r="L66" i="1"/>
  <c r="M66" i="1"/>
  <c r="N66" i="1"/>
  <c r="O66" i="1"/>
  <c r="S66" i="1"/>
  <c r="T66" i="1"/>
  <c r="U66" i="1"/>
  <c r="W66" i="1"/>
  <c r="B67" i="1"/>
  <c r="C67" i="1"/>
  <c r="Q67" i="1" s="1"/>
  <c r="H67" i="1"/>
  <c r="I67" i="1"/>
  <c r="J67" i="1"/>
  <c r="K67" i="1"/>
  <c r="L67" i="1"/>
  <c r="M67" i="1"/>
  <c r="N67" i="1"/>
  <c r="O67" i="1"/>
  <c r="P67" i="1"/>
  <c r="S67" i="1"/>
  <c r="T67" i="1"/>
  <c r="U67" i="1"/>
  <c r="W67" i="1"/>
  <c r="X67" i="1"/>
  <c r="B68" i="1"/>
  <c r="C68" i="1"/>
  <c r="H68" i="1"/>
  <c r="I68" i="1"/>
  <c r="J68" i="1"/>
  <c r="K68" i="1"/>
  <c r="L68" i="1"/>
  <c r="M68" i="1"/>
  <c r="N68" i="1"/>
  <c r="O68" i="1"/>
  <c r="P68" i="1"/>
  <c r="Q68" i="1"/>
  <c r="S68" i="1"/>
  <c r="T68" i="1"/>
  <c r="U68" i="1"/>
  <c r="W68" i="1"/>
  <c r="X68" i="1"/>
  <c r="B69" i="1"/>
  <c r="C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B70" i="1"/>
  <c r="C70" i="1"/>
  <c r="H70" i="1"/>
  <c r="I70" i="1"/>
  <c r="J70" i="1"/>
  <c r="K70" i="1"/>
  <c r="L70" i="1"/>
  <c r="M70" i="1"/>
  <c r="N70" i="1"/>
  <c r="O70" i="1"/>
  <c r="Q70" i="1"/>
  <c r="R70" i="1"/>
  <c r="S70" i="1"/>
  <c r="T70" i="1"/>
  <c r="U70" i="1"/>
  <c r="V70" i="1"/>
  <c r="W70" i="1"/>
  <c r="B71" i="1"/>
  <c r="C71" i="1"/>
  <c r="P71" i="1" s="1"/>
  <c r="H71" i="1"/>
  <c r="I71" i="1"/>
  <c r="J71" i="1"/>
  <c r="K71" i="1"/>
  <c r="L71" i="1"/>
  <c r="M71" i="1"/>
  <c r="N71" i="1"/>
  <c r="O71" i="1"/>
  <c r="S71" i="1"/>
  <c r="T71" i="1"/>
  <c r="U71" i="1"/>
  <c r="W71" i="1"/>
  <c r="B72" i="1"/>
  <c r="C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B73" i="1"/>
  <c r="C73" i="1"/>
  <c r="R73" i="1" s="1"/>
  <c r="H73" i="1"/>
  <c r="I73" i="1"/>
  <c r="J73" i="1"/>
  <c r="K73" i="1"/>
  <c r="L73" i="1"/>
  <c r="M73" i="1"/>
  <c r="N73" i="1"/>
  <c r="O73" i="1"/>
  <c r="Q73" i="1"/>
  <c r="S73" i="1"/>
  <c r="T73" i="1"/>
  <c r="U73" i="1"/>
  <c r="W73" i="1"/>
  <c r="B74" i="1"/>
  <c r="C74" i="1"/>
  <c r="Q74" i="1" s="1"/>
  <c r="H74" i="1"/>
  <c r="I74" i="1"/>
  <c r="J74" i="1"/>
  <c r="K74" i="1"/>
  <c r="L74" i="1"/>
  <c r="M74" i="1"/>
  <c r="N74" i="1"/>
  <c r="O74" i="1"/>
  <c r="P74" i="1"/>
  <c r="R74" i="1"/>
  <c r="S74" i="1"/>
  <c r="T74" i="1"/>
  <c r="U74" i="1"/>
  <c r="V74" i="1"/>
  <c r="W74" i="1"/>
  <c r="X74" i="1"/>
  <c r="B75" i="1"/>
  <c r="C75" i="1"/>
  <c r="P75" i="1" s="1"/>
  <c r="H75" i="1"/>
  <c r="I75" i="1"/>
  <c r="J75" i="1"/>
  <c r="K75" i="1"/>
  <c r="L75" i="1"/>
  <c r="M75" i="1"/>
  <c r="N75" i="1"/>
  <c r="O75" i="1"/>
  <c r="S75" i="1"/>
  <c r="T75" i="1"/>
  <c r="U75" i="1"/>
  <c r="W75" i="1"/>
  <c r="B76" i="1"/>
  <c r="C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B77" i="1"/>
  <c r="C77" i="1"/>
  <c r="R77" i="1" s="1"/>
  <c r="H77" i="1"/>
  <c r="I77" i="1"/>
  <c r="J77" i="1"/>
  <c r="K77" i="1"/>
  <c r="L77" i="1"/>
  <c r="M77" i="1"/>
  <c r="N77" i="1"/>
  <c r="O77" i="1"/>
  <c r="Q77" i="1"/>
  <c r="S77" i="1"/>
  <c r="T77" i="1"/>
  <c r="U77" i="1"/>
  <c r="W77" i="1"/>
  <c r="B78" i="1"/>
  <c r="C78" i="1"/>
  <c r="Q78" i="1" s="1"/>
  <c r="H78" i="1"/>
  <c r="I78" i="1"/>
  <c r="J78" i="1"/>
  <c r="K78" i="1"/>
  <c r="L78" i="1"/>
  <c r="M78" i="1"/>
  <c r="N78" i="1"/>
  <c r="O78" i="1"/>
  <c r="P78" i="1"/>
  <c r="R78" i="1"/>
  <c r="S78" i="1"/>
  <c r="T78" i="1"/>
  <c r="U78" i="1"/>
  <c r="V78" i="1"/>
  <c r="W78" i="1"/>
  <c r="X78" i="1"/>
  <c r="B79" i="1"/>
  <c r="C79" i="1"/>
  <c r="P79" i="1" s="1"/>
  <c r="H79" i="1"/>
  <c r="I79" i="1"/>
  <c r="J79" i="1"/>
  <c r="K79" i="1"/>
  <c r="L79" i="1"/>
  <c r="M79" i="1"/>
  <c r="N79" i="1"/>
  <c r="O79" i="1"/>
  <c r="S79" i="1"/>
  <c r="T79" i="1"/>
  <c r="U79" i="1"/>
  <c r="W79" i="1"/>
  <c r="B80" i="1"/>
  <c r="C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B81" i="1"/>
  <c r="C81" i="1"/>
  <c r="R81" i="1" s="1"/>
  <c r="H81" i="1"/>
  <c r="I81" i="1"/>
  <c r="J81" i="1"/>
  <c r="K81" i="1"/>
  <c r="L81" i="1"/>
  <c r="M81" i="1"/>
  <c r="N81" i="1"/>
  <c r="O81" i="1"/>
  <c r="Q81" i="1"/>
  <c r="S81" i="1"/>
  <c r="T81" i="1"/>
  <c r="U81" i="1"/>
  <c r="W81" i="1"/>
  <c r="B82" i="1"/>
  <c r="C82" i="1"/>
  <c r="Q82" i="1" s="1"/>
  <c r="H82" i="1"/>
  <c r="I82" i="1"/>
  <c r="J82" i="1"/>
  <c r="K82" i="1"/>
  <c r="L82" i="1"/>
  <c r="M82" i="1"/>
  <c r="N82" i="1"/>
  <c r="O82" i="1"/>
  <c r="P82" i="1"/>
  <c r="R82" i="1"/>
  <c r="S82" i="1"/>
  <c r="T82" i="1"/>
  <c r="U82" i="1"/>
  <c r="V82" i="1"/>
  <c r="W82" i="1"/>
  <c r="X82" i="1"/>
  <c r="B83" i="1"/>
  <c r="C83" i="1"/>
  <c r="P83" i="1" s="1"/>
  <c r="H83" i="1"/>
  <c r="I83" i="1"/>
  <c r="J83" i="1"/>
  <c r="K83" i="1"/>
  <c r="L83" i="1"/>
  <c r="M83" i="1"/>
  <c r="N83" i="1"/>
  <c r="O83" i="1"/>
  <c r="S83" i="1"/>
  <c r="T83" i="1"/>
  <c r="U83" i="1"/>
  <c r="W83" i="1"/>
  <c r="B84" i="1"/>
  <c r="C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B85" i="1"/>
  <c r="C85" i="1"/>
  <c r="R85" i="1" s="1"/>
  <c r="H85" i="1"/>
  <c r="I85" i="1"/>
  <c r="J85" i="1"/>
  <c r="K85" i="1"/>
  <c r="L85" i="1"/>
  <c r="M85" i="1"/>
  <c r="N85" i="1"/>
  <c r="O85" i="1"/>
  <c r="Q85" i="1"/>
  <c r="S85" i="1"/>
  <c r="T85" i="1"/>
  <c r="U85" i="1"/>
  <c r="W85" i="1"/>
  <c r="B86" i="1"/>
  <c r="C86" i="1"/>
  <c r="Q86" i="1" s="1"/>
  <c r="H86" i="1"/>
  <c r="I86" i="1"/>
  <c r="J86" i="1"/>
  <c r="K86" i="1"/>
  <c r="L86" i="1"/>
  <c r="M86" i="1"/>
  <c r="N86" i="1"/>
  <c r="O86" i="1"/>
  <c r="P86" i="1"/>
  <c r="R86" i="1"/>
  <c r="S86" i="1"/>
  <c r="T86" i="1"/>
  <c r="U86" i="1"/>
  <c r="V86" i="1"/>
  <c r="W86" i="1"/>
  <c r="X86" i="1"/>
  <c r="B87" i="1"/>
  <c r="C87" i="1"/>
  <c r="P87" i="1" s="1"/>
  <c r="H87" i="1"/>
  <c r="I87" i="1"/>
  <c r="J87" i="1"/>
  <c r="K87" i="1"/>
  <c r="L87" i="1"/>
  <c r="M87" i="1"/>
  <c r="N87" i="1"/>
  <c r="O87" i="1"/>
  <c r="S87" i="1"/>
  <c r="T87" i="1"/>
  <c r="U87" i="1"/>
  <c r="W87" i="1"/>
  <c r="B88" i="1"/>
  <c r="C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B89" i="1"/>
  <c r="C89" i="1"/>
  <c r="R89" i="1" s="1"/>
  <c r="H89" i="1"/>
  <c r="I89" i="1"/>
  <c r="J89" i="1"/>
  <c r="K89" i="1"/>
  <c r="L89" i="1"/>
  <c r="M89" i="1"/>
  <c r="N89" i="1"/>
  <c r="O89" i="1"/>
  <c r="Q89" i="1"/>
  <c r="S89" i="1"/>
  <c r="T89" i="1"/>
  <c r="U89" i="1"/>
  <c r="W89" i="1"/>
  <c r="B90" i="1"/>
  <c r="C90" i="1"/>
  <c r="Q90" i="1" s="1"/>
  <c r="H90" i="1"/>
  <c r="I90" i="1"/>
  <c r="J90" i="1"/>
  <c r="K90" i="1"/>
  <c r="L90" i="1"/>
  <c r="M90" i="1"/>
  <c r="N90" i="1"/>
  <c r="O90" i="1"/>
  <c r="P90" i="1"/>
  <c r="R90" i="1"/>
  <c r="S90" i="1"/>
  <c r="T90" i="1"/>
  <c r="U90" i="1"/>
  <c r="V90" i="1"/>
  <c r="W90" i="1"/>
  <c r="X90" i="1"/>
  <c r="B91" i="1"/>
  <c r="C91" i="1"/>
  <c r="P91" i="1" s="1"/>
  <c r="H91" i="1"/>
  <c r="I91" i="1"/>
  <c r="J91" i="1"/>
  <c r="K91" i="1"/>
  <c r="L91" i="1"/>
  <c r="M91" i="1"/>
  <c r="N91" i="1"/>
  <c r="O91" i="1"/>
  <c r="S91" i="1"/>
  <c r="T91" i="1"/>
  <c r="U91" i="1"/>
  <c r="W91" i="1"/>
  <c r="B92" i="1"/>
  <c r="C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B93" i="1"/>
  <c r="C93" i="1"/>
  <c r="R93" i="1" s="1"/>
  <c r="H93" i="1"/>
  <c r="I93" i="1"/>
  <c r="J93" i="1"/>
  <c r="K93" i="1"/>
  <c r="L93" i="1"/>
  <c r="M93" i="1"/>
  <c r="N93" i="1"/>
  <c r="O93" i="1"/>
  <c r="Q93" i="1"/>
  <c r="S93" i="1"/>
  <c r="T93" i="1"/>
  <c r="U93" i="1"/>
  <c r="W93" i="1"/>
  <c r="B94" i="1"/>
  <c r="C94" i="1"/>
  <c r="Q94" i="1" s="1"/>
  <c r="H94" i="1"/>
  <c r="I94" i="1"/>
  <c r="J94" i="1"/>
  <c r="K94" i="1"/>
  <c r="L94" i="1"/>
  <c r="M94" i="1"/>
  <c r="N94" i="1"/>
  <c r="O94" i="1"/>
  <c r="P94" i="1"/>
  <c r="R94" i="1"/>
  <c r="S94" i="1"/>
  <c r="T94" i="1"/>
  <c r="U94" i="1"/>
  <c r="V94" i="1"/>
  <c r="W94" i="1"/>
  <c r="X94" i="1"/>
  <c r="B95" i="1"/>
  <c r="C95" i="1"/>
  <c r="P95" i="1" s="1"/>
  <c r="H95" i="1"/>
  <c r="I95" i="1"/>
  <c r="J95" i="1"/>
  <c r="K95" i="1"/>
  <c r="L95" i="1"/>
  <c r="M95" i="1"/>
  <c r="N95" i="1"/>
  <c r="O95" i="1"/>
  <c r="S95" i="1"/>
  <c r="T95" i="1"/>
  <c r="U95" i="1"/>
  <c r="W95" i="1"/>
  <c r="B96" i="1"/>
  <c r="C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B97" i="1"/>
  <c r="C97" i="1"/>
  <c r="R97" i="1" s="1"/>
  <c r="H97" i="1"/>
  <c r="I97" i="1"/>
  <c r="J97" i="1"/>
  <c r="K97" i="1"/>
  <c r="L97" i="1"/>
  <c r="M97" i="1"/>
  <c r="N97" i="1"/>
  <c r="O97" i="1"/>
  <c r="Q97" i="1"/>
  <c r="S97" i="1"/>
  <c r="T97" i="1"/>
  <c r="U97" i="1"/>
  <c r="W97" i="1"/>
  <c r="B98" i="1"/>
  <c r="C98" i="1"/>
  <c r="Q98" i="1" s="1"/>
  <c r="H98" i="1"/>
  <c r="I98" i="1"/>
  <c r="J98" i="1"/>
  <c r="K98" i="1"/>
  <c r="L98" i="1"/>
  <c r="M98" i="1"/>
  <c r="N98" i="1"/>
  <c r="O98" i="1"/>
  <c r="P98" i="1"/>
  <c r="R98" i="1"/>
  <c r="S98" i="1"/>
  <c r="T98" i="1"/>
  <c r="U98" i="1"/>
  <c r="V98" i="1"/>
  <c r="W98" i="1"/>
  <c r="X98" i="1"/>
  <c r="B99" i="1"/>
  <c r="C99" i="1"/>
  <c r="P99" i="1" s="1"/>
  <c r="H99" i="1"/>
  <c r="I99" i="1"/>
  <c r="J99" i="1"/>
  <c r="K99" i="1"/>
  <c r="L99" i="1"/>
  <c r="M99" i="1"/>
  <c r="N99" i="1"/>
  <c r="O99" i="1"/>
  <c r="S99" i="1"/>
  <c r="T99" i="1"/>
  <c r="U99" i="1"/>
  <c r="W99" i="1"/>
  <c r="B100" i="1"/>
  <c r="C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B101" i="1"/>
  <c r="C101" i="1"/>
  <c r="R101" i="1" s="1"/>
  <c r="H101" i="1"/>
  <c r="I101" i="1"/>
  <c r="J101" i="1"/>
  <c r="K101" i="1"/>
  <c r="L101" i="1"/>
  <c r="M101" i="1"/>
  <c r="N101" i="1"/>
  <c r="O101" i="1"/>
  <c r="Q101" i="1"/>
  <c r="S101" i="1"/>
  <c r="T101" i="1"/>
  <c r="U101" i="1"/>
  <c r="W101" i="1"/>
  <c r="B102" i="1"/>
  <c r="C102" i="1"/>
  <c r="Q102" i="1" s="1"/>
  <c r="H102" i="1"/>
  <c r="I102" i="1"/>
  <c r="J102" i="1"/>
  <c r="K102" i="1"/>
  <c r="L102" i="1"/>
  <c r="M102" i="1"/>
  <c r="N102" i="1"/>
  <c r="O102" i="1"/>
  <c r="P102" i="1"/>
  <c r="R102" i="1"/>
  <c r="S102" i="1"/>
  <c r="T102" i="1"/>
  <c r="U102" i="1"/>
  <c r="V102" i="1"/>
  <c r="W102" i="1"/>
  <c r="X102" i="1"/>
  <c r="B103" i="1"/>
  <c r="C103" i="1"/>
  <c r="P103" i="1" s="1"/>
  <c r="H103" i="1"/>
  <c r="I103" i="1"/>
  <c r="J103" i="1"/>
  <c r="K103" i="1"/>
  <c r="L103" i="1"/>
  <c r="M103" i="1"/>
  <c r="N103" i="1"/>
  <c r="O103" i="1"/>
  <c r="S103" i="1"/>
  <c r="T103" i="1"/>
  <c r="U103" i="1"/>
  <c r="W103" i="1"/>
  <c r="B104" i="1"/>
  <c r="C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B105" i="1"/>
  <c r="C105" i="1"/>
  <c r="R105" i="1" s="1"/>
  <c r="H105" i="1"/>
  <c r="I105" i="1"/>
  <c r="J105" i="1"/>
  <c r="K105" i="1"/>
  <c r="L105" i="1"/>
  <c r="M105" i="1"/>
  <c r="N105" i="1"/>
  <c r="O105" i="1"/>
  <c r="Q105" i="1"/>
  <c r="S105" i="1"/>
  <c r="T105" i="1"/>
  <c r="U105" i="1"/>
  <c r="W105" i="1"/>
  <c r="B106" i="1"/>
  <c r="C106" i="1"/>
  <c r="Q106" i="1" s="1"/>
  <c r="H106" i="1"/>
  <c r="I106" i="1"/>
  <c r="J106" i="1"/>
  <c r="K106" i="1"/>
  <c r="L106" i="1"/>
  <c r="M106" i="1"/>
  <c r="N106" i="1"/>
  <c r="O106" i="1"/>
  <c r="P106" i="1"/>
  <c r="R106" i="1"/>
  <c r="S106" i="1"/>
  <c r="T106" i="1"/>
  <c r="U106" i="1"/>
  <c r="V106" i="1"/>
  <c r="W106" i="1"/>
  <c r="X106" i="1"/>
  <c r="B107" i="1"/>
  <c r="C107" i="1"/>
  <c r="P107" i="1" s="1"/>
  <c r="H107" i="1"/>
  <c r="I107" i="1"/>
  <c r="J107" i="1"/>
  <c r="K107" i="1"/>
  <c r="L107" i="1"/>
  <c r="M107" i="1"/>
  <c r="N107" i="1"/>
  <c r="O107" i="1"/>
  <c r="S107" i="1"/>
  <c r="T107" i="1"/>
  <c r="U107" i="1"/>
  <c r="W107" i="1"/>
  <c r="B108" i="1"/>
  <c r="C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B109" i="1"/>
  <c r="C109" i="1"/>
  <c r="R109" i="1" s="1"/>
  <c r="H109" i="1"/>
  <c r="I109" i="1"/>
  <c r="J109" i="1"/>
  <c r="K109" i="1"/>
  <c r="L109" i="1"/>
  <c r="M109" i="1"/>
  <c r="N109" i="1"/>
  <c r="O109" i="1"/>
  <c r="Q109" i="1"/>
  <c r="S109" i="1"/>
  <c r="T109" i="1"/>
  <c r="U109" i="1"/>
  <c r="W109" i="1"/>
  <c r="B110" i="1"/>
  <c r="C110" i="1"/>
  <c r="Q110" i="1" s="1"/>
  <c r="H110" i="1"/>
  <c r="I110" i="1"/>
  <c r="J110" i="1"/>
  <c r="K110" i="1"/>
  <c r="L110" i="1"/>
  <c r="M110" i="1"/>
  <c r="N110" i="1"/>
  <c r="O110" i="1"/>
  <c r="P110" i="1"/>
  <c r="R110" i="1"/>
  <c r="S110" i="1"/>
  <c r="T110" i="1"/>
  <c r="U110" i="1"/>
  <c r="V110" i="1"/>
  <c r="W110" i="1"/>
  <c r="X110" i="1"/>
  <c r="B111" i="1"/>
  <c r="C111" i="1"/>
  <c r="P111" i="1" s="1"/>
  <c r="H111" i="1"/>
  <c r="I111" i="1"/>
  <c r="J111" i="1"/>
  <c r="K111" i="1"/>
  <c r="L111" i="1"/>
  <c r="M111" i="1"/>
  <c r="N111" i="1"/>
  <c r="O111" i="1"/>
  <c r="S111" i="1"/>
  <c r="T111" i="1"/>
  <c r="U111" i="1"/>
  <c r="W111" i="1"/>
  <c r="B112" i="1"/>
  <c r="C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B113" i="1"/>
  <c r="C113" i="1"/>
  <c r="R113" i="1" s="1"/>
  <c r="H113" i="1"/>
  <c r="I113" i="1"/>
  <c r="J113" i="1"/>
  <c r="K113" i="1"/>
  <c r="L113" i="1"/>
  <c r="M113" i="1"/>
  <c r="N113" i="1"/>
  <c r="O113" i="1"/>
  <c r="Q113" i="1"/>
  <c r="S113" i="1"/>
  <c r="T113" i="1"/>
  <c r="U113" i="1"/>
  <c r="W113" i="1"/>
  <c r="B114" i="1"/>
  <c r="C114" i="1"/>
  <c r="Q114" i="1" s="1"/>
  <c r="H114" i="1"/>
  <c r="I114" i="1"/>
  <c r="J114" i="1"/>
  <c r="K114" i="1"/>
  <c r="L114" i="1"/>
  <c r="M114" i="1"/>
  <c r="N114" i="1"/>
  <c r="O114" i="1"/>
  <c r="P114" i="1"/>
  <c r="R114" i="1"/>
  <c r="S114" i="1"/>
  <c r="T114" i="1"/>
  <c r="U114" i="1"/>
  <c r="V114" i="1"/>
  <c r="W114" i="1"/>
  <c r="X114" i="1"/>
  <c r="B115" i="1"/>
  <c r="C115" i="1"/>
  <c r="P115" i="1" s="1"/>
  <c r="H115" i="1"/>
  <c r="I115" i="1"/>
  <c r="J115" i="1"/>
  <c r="K115" i="1"/>
  <c r="L115" i="1"/>
  <c r="M115" i="1"/>
  <c r="N115" i="1"/>
  <c r="O115" i="1"/>
  <c r="S115" i="1"/>
  <c r="T115" i="1"/>
  <c r="U115" i="1"/>
  <c r="W115" i="1"/>
  <c r="B116" i="1"/>
  <c r="C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B117" i="1"/>
  <c r="C117" i="1"/>
  <c r="R117" i="1" s="1"/>
  <c r="H117" i="1"/>
  <c r="I117" i="1"/>
  <c r="J117" i="1"/>
  <c r="K117" i="1"/>
  <c r="L117" i="1"/>
  <c r="M117" i="1"/>
  <c r="N117" i="1"/>
  <c r="O117" i="1"/>
  <c r="Q117" i="1"/>
  <c r="S117" i="1"/>
  <c r="T117" i="1"/>
  <c r="U117" i="1"/>
  <c r="W117" i="1"/>
  <c r="B118" i="1"/>
  <c r="C118" i="1"/>
  <c r="Q118" i="1" s="1"/>
  <c r="H118" i="1"/>
  <c r="I118" i="1"/>
  <c r="J118" i="1"/>
  <c r="K118" i="1"/>
  <c r="L118" i="1"/>
  <c r="M118" i="1"/>
  <c r="N118" i="1"/>
  <c r="O118" i="1"/>
  <c r="P118" i="1"/>
  <c r="R118" i="1"/>
  <c r="S118" i="1"/>
  <c r="T118" i="1"/>
  <c r="U118" i="1"/>
  <c r="V118" i="1"/>
  <c r="W118" i="1"/>
  <c r="X118" i="1"/>
  <c r="B119" i="1"/>
  <c r="C119" i="1"/>
  <c r="P119" i="1" s="1"/>
  <c r="H119" i="1"/>
  <c r="I119" i="1"/>
  <c r="J119" i="1"/>
  <c r="K119" i="1"/>
  <c r="L119" i="1"/>
  <c r="M119" i="1"/>
  <c r="N119" i="1"/>
  <c r="O119" i="1"/>
  <c r="S119" i="1"/>
  <c r="T119" i="1"/>
  <c r="U119" i="1"/>
  <c r="W119" i="1"/>
  <c r="B120" i="1"/>
  <c r="C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B121" i="1"/>
  <c r="C121" i="1"/>
  <c r="R121" i="1" s="1"/>
  <c r="H121" i="1"/>
  <c r="I121" i="1"/>
  <c r="J121" i="1"/>
  <c r="K121" i="1"/>
  <c r="L121" i="1"/>
  <c r="M121" i="1"/>
  <c r="N121" i="1"/>
  <c r="O121" i="1"/>
  <c r="Q121" i="1"/>
  <c r="S121" i="1"/>
  <c r="T121" i="1"/>
  <c r="U121" i="1"/>
  <c r="W121" i="1"/>
  <c r="B122" i="1"/>
  <c r="C122" i="1"/>
  <c r="Q122" i="1" s="1"/>
  <c r="H122" i="1"/>
  <c r="I122" i="1"/>
  <c r="J122" i="1"/>
  <c r="K122" i="1"/>
  <c r="L122" i="1"/>
  <c r="M122" i="1"/>
  <c r="N122" i="1"/>
  <c r="O122" i="1"/>
  <c r="P122" i="1"/>
  <c r="R122" i="1"/>
  <c r="S122" i="1"/>
  <c r="T122" i="1"/>
  <c r="U122" i="1"/>
  <c r="V122" i="1"/>
  <c r="W122" i="1"/>
  <c r="X122" i="1"/>
  <c r="B123" i="1"/>
  <c r="C123" i="1"/>
  <c r="H123" i="1"/>
  <c r="I123" i="1"/>
  <c r="J123" i="1"/>
  <c r="K123" i="1"/>
  <c r="L123" i="1"/>
  <c r="M123" i="1"/>
  <c r="N123" i="1"/>
  <c r="O123" i="1"/>
  <c r="S123" i="1"/>
  <c r="T123" i="1"/>
  <c r="U123" i="1"/>
  <c r="W123" i="1"/>
  <c r="B124" i="1"/>
  <c r="C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B125" i="1"/>
  <c r="C125" i="1"/>
  <c r="R125" i="1" s="1"/>
  <c r="H125" i="1"/>
  <c r="I125" i="1"/>
  <c r="J125" i="1"/>
  <c r="K125" i="1"/>
  <c r="L125" i="1"/>
  <c r="M125" i="1"/>
  <c r="N125" i="1"/>
  <c r="O125" i="1"/>
  <c r="Q125" i="1"/>
  <c r="S125" i="1"/>
  <c r="T125" i="1"/>
  <c r="U125" i="1"/>
  <c r="W125" i="1"/>
  <c r="B126" i="1"/>
  <c r="C126" i="1"/>
  <c r="Q126" i="1" s="1"/>
  <c r="H126" i="1"/>
  <c r="I126" i="1"/>
  <c r="J126" i="1"/>
  <c r="K126" i="1"/>
  <c r="L126" i="1"/>
  <c r="M126" i="1"/>
  <c r="N126" i="1"/>
  <c r="O126" i="1"/>
  <c r="P126" i="1"/>
  <c r="R126" i="1"/>
  <c r="S126" i="1"/>
  <c r="T126" i="1"/>
  <c r="U126" i="1"/>
  <c r="V126" i="1"/>
  <c r="W126" i="1"/>
  <c r="X126" i="1"/>
  <c r="B127" i="1"/>
  <c r="C127" i="1"/>
  <c r="H127" i="1"/>
  <c r="I127" i="1"/>
  <c r="J127" i="1"/>
  <c r="K127" i="1"/>
  <c r="L127" i="1"/>
  <c r="M127" i="1"/>
  <c r="N127" i="1"/>
  <c r="O127" i="1"/>
  <c r="S127" i="1"/>
  <c r="T127" i="1"/>
  <c r="U127" i="1"/>
  <c r="W127" i="1"/>
  <c r="B128" i="1"/>
  <c r="C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B129" i="1"/>
  <c r="C129" i="1"/>
  <c r="R129" i="1" s="1"/>
  <c r="H129" i="1"/>
  <c r="I129" i="1"/>
  <c r="J129" i="1"/>
  <c r="K129" i="1"/>
  <c r="L129" i="1"/>
  <c r="M129" i="1"/>
  <c r="N129" i="1"/>
  <c r="O129" i="1"/>
  <c r="Q129" i="1"/>
  <c r="S129" i="1"/>
  <c r="T129" i="1"/>
  <c r="U129" i="1"/>
  <c r="W129" i="1"/>
  <c r="B130" i="1"/>
  <c r="C130" i="1"/>
  <c r="Q130" i="1" s="1"/>
  <c r="H130" i="1"/>
  <c r="I130" i="1"/>
  <c r="J130" i="1"/>
  <c r="K130" i="1"/>
  <c r="L130" i="1"/>
  <c r="M130" i="1"/>
  <c r="N130" i="1"/>
  <c r="O130" i="1"/>
  <c r="P130" i="1"/>
  <c r="R130" i="1"/>
  <c r="S130" i="1"/>
  <c r="T130" i="1"/>
  <c r="U130" i="1"/>
  <c r="V130" i="1"/>
  <c r="W130" i="1"/>
  <c r="X130" i="1"/>
  <c r="B131" i="1"/>
  <c r="C131" i="1"/>
  <c r="Q131" i="1" s="1"/>
  <c r="H131" i="1"/>
  <c r="I131" i="1"/>
  <c r="J131" i="1"/>
  <c r="K131" i="1"/>
  <c r="L131" i="1"/>
  <c r="M131" i="1"/>
  <c r="N131" i="1"/>
  <c r="O131" i="1"/>
  <c r="S131" i="1"/>
  <c r="T131" i="1"/>
  <c r="U131" i="1"/>
  <c r="W131" i="1"/>
  <c r="B132" i="1"/>
  <c r="C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B133" i="1"/>
  <c r="C133" i="1"/>
  <c r="Q133" i="1" s="1"/>
  <c r="H133" i="1"/>
  <c r="I133" i="1"/>
  <c r="J133" i="1"/>
  <c r="K133" i="1"/>
  <c r="L133" i="1"/>
  <c r="M133" i="1"/>
  <c r="N133" i="1"/>
  <c r="O133" i="1"/>
  <c r="S133" i="1"/>
  <c r="T133" i="1"/>
  <c r="U133" i="1"/>
  <c r="W133" i="1"/>
  <c r="B134" i="1"/>
  <c r="C134" i="1"/>
  <c r="Q134" i="1" s="1"/>
  <c r="H134" i="1"/>
  <c r="I134" i="1"/>
  <c r="J134" i="1"/>
  <c r="K134" i="1"/>
  <c r="L134" i="1"/>
  <c r="M134" i="1"/>
  <c r="N134" i="1"/>
  <c r="O134" i="1"/>
  <c r="P134" i="1"/>
  <c r="R134" i="1"/>
  <c r="S134" i="1"/>
  <c r="T134" i="1"/>
  <c r="U134" i="1"/>
  <c r="V134" i="1"/>
  <c r="W134" i="1"/>
  <c r="X134" i="1"/>
  <c r="B135" i="1"/>
  <c r="C135" i="1"/>
  <c r="H135" i="1"/>
  <c r="I135" i="1"/>
  <c r="J135" i="1"/>
  <c r="K135" i="1"/>
  <c r="L135" i="1"/>
  <c r="M135" i="1"/>
  <c r="N135" i="1"/>
  <c r="O135" i="1"/>
  <c r="Q135" i="1"/>
  <c r="S135" i="1"/>
  <c r="T135" i="1"/>
  <c r="U135" i="1"/>
  <c r="W135" i="1"/>
  <c r="B136" i="1"/>
  <c r="C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B137" i="1"/>
  <c r="C137" i="1"/>
  <c r="H137" i="1"/>
  <c r="I137" i="1"/>
  <c r="J137" i="1"/>
  <c r="K137" i="1"/>
  <c r="L137" i="1"/>
  <c r="M137" i="1"/>
  <c r="N137" i="1"/>
  <c r="O137" i="1"/>
  <c r="Q137" i="1"/>
  <c r="S137" i="1"/>
  <c r="T137" i="1"/>
  <c r="U137" i="1"/>
  <c r="W137" i="1"/>
  <c r="B138" i="1"/>
  <c r="C138" i="1"/>
  <c r="Q138" i="1" s="1"/>
  <c r="H138" i="1"/>
  <c r="I138" i="1"/>
  <c r="J138" i="1"/>
  <c r="K138" i="1"/>
  <c r="L138" i="1"/>
  <c r="M138" i="1"/>
  <c r="N138" i="1"/>
  <c r="O138" i="1"/>
  <c r="P138" i="1"/>
  <c r="R138" i="1"/>
  <c r="S138" i="1"/>
  <c r="T138" i="1"/>
  <c r="U138" i="1"/>
  <c r="V138" i="1"/>
  <c r="W138" i="1"/>
  <c r="X138" i="1"/>
  <c r="B139" i="1"/>
  <c r="C139" i="1"/>
  <c r="Q139" i="1" s="1"/>
  <c r="H139" i="1"/>
  <c r="I139" i="1"/>
  <c r="J139" i="1"/>
  <c r="K139" i="1"/>
  <c r="L139" i="1"/>
  <c r="M139" i="1"/>
  <c r="N139" i="1"/>
  <c r="O139" i="1"/>
  <c r="S139" i="1"/>
  <c r="T139" i="1"/>
  <c r="U139" i="1"/>
  <c r="W139" i="1"/>
  <c r="B140" i="1"/>
  <c r="C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B141" i="1"/>
  <c r="C141" i="1"/>
  <c r="Q141" i="1" s="1"/>
  <c r="H141" i="1"/>
  <c r="I141" i="1"/>
  <c r="J141" i="1"/>
  <c r="K141" i="1"/>
  <c r="L141" i="1"/>
  <c r="M141" i="1"/>
  <c r="N141" i="1"/>
  <c r="O141" i="1"/>
  <c r="S141" i="1"/>
  <c r="T141" i="1"/>
  <c r="U141" i="1"/>
  <c r="W141" i="1"/>
  <c r="B142" i="1"/>
  <c r="C142" i="1"/>
  <c r="Q142" i="1" s="1"/>
  <c r="H142" i="1"/>
  <c r="I142" i="1"/>
  <c r="J142" i="1"/>
  <c r="K142" i="1"/>
  <c r="L142" i="1"/>
  <c r="M142" i="1"/>
  <c r="N142" i="1"/>
  <c r="O142" i="1"/>
  <c r="P142" i="1"/>
  <c r="R142" i="1"/>
  <c r="S142" i="1"/>
  <c r="T142" i="1"/>
  <c r="U142" i="1"/>
  <c r="V142" i="1"/>
  <c r="W142" i="1"/>
  <c r="X142" i="1"/>
  <c r="B143" i="1"/>
  <c r="C143" i="1"/>
  <c r="H143" i="1"/>
  <c r="I143" i="1"/>
  <c r="J143" i="1"/>
  <c r="K143" i="1"/>
  <c r="L143" i="1"/>
  <c r="M143" i="1"/>
  <c r="N143" i="1"/>
  <c r="O143" i="1"/>
  <c r="Q143" i="1"/>
  <c r="S143" i="1"/>
  <c r="T143" i="1"/>
  <c r="U143" i="1"/>
  <c r="W143" i="1"/>
  <c r="B144" i="1"/>
  <c r="C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B145" i="1"/>
  <c r="C145" i="1"/>
  <c r="H145" i="1"/>
  <c r="I145" i="1"/>
  <c r="J145" i="1"/>
  <c r="K145" i="1"/>
  <c r="L145" i="1"/>
  <c r="M145" i="1"/>
  <c r="N145" i="1"/>
  <c r="O145" i="1"/>
  <c r="Q145" i="1"/>
  <c r="S145" i="1"/>
  <c r="T145" i="1"/>
  <c r="U145" i="1"/>
  <c r="V145" i="1"/>
  <c r="W145" i="1"/>
  <c r="B146" i="1"/>
  <c r="C146" i="1"/>
  <c r="Q146" i="1" s="1"/>
  <c r="H146" i="1"/>
  <c r="I146" i="1"/>
  <c r="J146" i="1"/>
  <c r="K146" i="1"/>
  <c r="L146" i="1"/>
  <c r="M146" i="1"/>
  <c r="N146" i="1"/>
  <c r="O146" i="1"/>
  <c r="P146" i="1"/>
  <c r="S146" i="1"/>
  <c r="T146" i="1"/>
  <c r="U146" i="1"/>
  <c r="W146" i="1"/>
  <c r="X146" i="1"/>
  <c r="B147" i="1"/>
  <c r="C147" i="1"/>
  <c r="H147" i="1"/>
  <c r="I147" i="1"/>
  <c r="J147" i="1"/>
  <c r="K147" i="1"/>
  <c r="L147" i="1"/>
  <c r="M147" i="1"/>
  <c r="N147" i="1"/>
  <c r="O147" i="1"/>
  <c r="P147" i="1"/>
  <c r="Q147" i="1"/>
  <c r="S147" i="1"/>
  <c r="T147" i="1"/>
  <c r="U147" i="1"/>
  <c r="W147" i="1"/>
  <c r="X147" i="1"/>
  <c r="B148" i="1"/>
  <c r="C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B149" i="1"/>
  <c r="C149" i="1"/>
  <c r="H149" i="1"/>
  <c r="I149" i="1"/>
  <c r="J149" i="1"/>
  <c r="K149" i="1"/>
  <c r="L149" i="1"/>
  <c r="M149" i="1"/>
  <c r="N149" i="1"/>
  <c r="O149" i="1"/>
  <c r="Q149" i="1"/>
  <c r="R149" i="1"/>
  <c r="S149" i="1"/>
  <c r="T149" i="1"/>
  <c r="U149" i="1"/>
  <c r="V149" i="1"/>
  <c r="W149" i="1"/>
  <c r="B150" i="1"/>
  <c r="C150" i="1"/>
  <c r="Q150" i="1" s="1"/>
  <c r="H150" i="1"/>
  <c r="I150" i="1"/>
  <c r="J150" i="1"/>
  <c r="K150" i="1"/>
  <c r="L150" i="1"/>
  <c r="M150" i="1"/>
  <c r="N150" i="1"/>
  <c r="O150" i="1"/>
  <c r="R150" i="1"/>
  <c r="S150" i="1"/>
  <c r="T150" i="1"/>
  <c r="U150" i="1"/>
  <c r="V150" i="1"/>
  <c r="W150" i="1"/>
  <c r="X150" i="1"/>
  <c r="B151" i="1"/>
  <c r="C151" i="1"/>
  <c r="P151" i="1" s="1"/>
  <c r="H151" i="1"/>
  <c r="I151" i="1"/>
  <c r="J151" i="1"/>
  <c r="K151" i="1"/>
  <c r="L151" i="1"/>
  <c r="M151" i="1"/>
  <c r="N151" i="1"/>
  <c r="O151" i="1"/>
  <c r="S151" i="1"/>
  <c r="T151" i="1"/>
  <c r="U151" i="1"/>
  <c r="W151" i="1"/>
  <c r="B152" i="1"/>
  <c r="C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B153" i="1"/>
  <c r="C153" i="1"/>
  <c r="Q153" i="1" s="1"/>
  <c r="H153" i="1"/>
  <c r="I153" i="1"/>
  <c r="J153" i="1"/>
  <c r="K153" i="1"/>
  <c r="L153" i="1"/>
  <c r="M153" i="1"/>
  <c r="N153" i="1"/>
  <c r="O153" i="1"/>
  <c r="S153" i="1"/>
  <c r="T153" i="1"/>
  <c r="U153" i="1"/>
  <c r="W153" i="1"/>
  <c r="B154" i="1"/>
  <c r="C154" i="1"/>
  <c r="Q154" i="1" s="1"/>
  <c r="H154" i="1"/>
  <c r="I154" i="1"/>
  <c r="J154" i="1"/>
  <c r="K154" i="1"/>
  <c r="L154" i="1"/>
  <c r="M154" i="1"/>
  <c r="N154" i="1"/>
  <c r="O154" i="1"/>
  <c r="P154" i="1"/>
  <c r="R154" i="1"/>
  <c r="S154" i="1"/>
  <c r="T154" i="1"/>
  <c r="U154" i="1"/>
  <c r="V154" i="1"/>
  <c r="W154" i="1"/>
  <c r="X154" i="1"/>
  <c r="B155" i="1"/>
  <c r="C155" i="1"/>
  <c r="Q155" i="1" s="1"/>
  <c r="H155" i="1"/>
  <c r="I155" i="1"/>
  <c r="J155" i="1"/>
  <c r="K155" i="1"/>
  <c r="L155" i="1"/>
  <c r="M155" i="1"/>
  <c r="N155" i="1"/>
  <c r="O155" i="1"/>
  <c r="P155" i="1"/>
  <c r="S155" i="1"/>
  <c r="T155" i="1"/>
  <c r="U155" i="1"/>
  <c r="W155" i="1"/>
  <c r="X155" i="1"/>
  <c r="B156" i="1"/>
  <c r="C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B157" i="1"/>
  <c r="C157" i="1"/>
  <c r="R157" i="1" s="1"/>
  <c r="H157" i="1"/>
  <c r="I157" i="1"/>
  <c r="J157" i="1"/>
  <c r="K157" i="1"/>
  <c r="L157" i="1"/>
  <c r="M157" i="1"/>
  <c r="N157" i="1"/>
  <c r="O157" i="1"/>
  <c r="Q157" i="1"/>
  <c r="S157" i="1"/>
  <c r="T157" i="1"/>
  <c r="U157" i="1"/>
  <c r="W157" i="1"/>
  <c r="B158" i="1"/>
  <c r="C158" i="1"/>
  <c r="Q158" i="1" s="1"/>
  <c r="H158" i="1"/>
  <c r="I158" i="1"/>
  <c r="J158" i="1"/>
  <c r="K158" i="1"/>
  <c r="L158" i="1"/>
  <c r="M158" i="1"/>
  <c r="N158" i="1"/>
  <c r="O158" i="1"/>
  <c r="R158" i="1"/>
  <c r="S158" i="1"/>
  <c r="T158" i="1"/>
  <c r="U158" i="1"/>
  <c r="V158" i="1"/>
  <c r="W158" i="1"/>
  <c r="X158" i="1"/>
  <c r="B159" i="1"/>
  <c r="C159" i="1"/>
  <c r="P159" i="1" s="1"/>
  <c r="H159" i="1"/>
  <c r="I159" i="1"/>
  <c r="J159" i="1"/>
  <c r="K159" i="1"/>
  <c r="L159" i="1"/>
  <c r="M159" i="1"/>
  <c r="N159" i="1"/>
  <c r="O159" i="1"/>
  <c r="Q159" i="1"/>
  <c r="S159" i="1"/>
  <c r="T159" i="1"/>
  <c r="U159" i="1"/>
  <c r="W159" i="1"/>
  <c r="B160" i="1"/>
  <c r="C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B161" i="1"/>
  <c r="C161" i="1"/>
  <c r="Q161" i="1" s="1"/>
  <c r="H161" i="1"/>
  <c r="I161" i="1"/>
  <c r="J161" i="1"/>
  <c r="K161" i="1"/>
  <c r="L161" i="1"/>
  <c r="M161" i="1"/>
  <c r="N161" i="1"/>
  <c r="O161" i="1"/>
  <c r="S161" i="1"/>
  <c r="T161" i="1"/>
  <c r="U161" i="1"/>
  <c r="V161" i="1"/>
  <c r="W161" i="1"/>
  <c r="B162" i="1"/>
  <c r="C162" i="1"/>
  <c r="Q162" i="1" s="1"/>
  <c r="H162" i="1"/>
  <c r="I162" i="1"/>
  <c r="J162" i="1"/>
  <c r="K162" i="1"/>
  <c r="L162" i="1"/>
  <c r="M162" i="1"/>
  <c r="N162" i="1"/>
  <c r="O162" i="1"/>
  <c r="P162" i="1"/>
  <c r="S162" i="1"/>
  <c r="T162" i="1"/>
  <c r="U162" i="1"/>
  <c r="W162" i="1"/>
  <c r="X162" i="1"/>
  <c r="B163" i="1"/>
  <c r="C163" i="1"/>
  <c r="H163" i="1"/>
  <c r="I163" i="1"/>
  <c r="J163" i="1"/>
  <c r="K163" i="1"/>
  <c r="L163" i="1"/>
  <c r="M163" i="1"/>
  <c r="N163" i="1"/>
  <c r="O163" i="1"/>
  <c r="P163" i="1"/>
  <c r="Q163" i="1"/>
  <c r="S163" i="1"/>
  <c r="T163" i="1"/>
  <c r="U163" i="1"/>
  <c r="W163" i="1"/>
  <c r="X163" i="1"/>
  <c r="B164" i="1"/>
  <c r="C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B165" i="1"/>
  <c r="C165" i="1"/>
  <c r="H165" i="1"/>
  <c r="I165" i="1"/>
  <c r="J165" i="1"/>
  <c r="K165" i="1"/>
  <c r="L165" i="1"/>
  <c r="M165" i="1"/>
  <c r="N165" i="1"/>
  <c r="O165" i="1"/>
  <c r="Q165" i="1"/>
  <c r="R165" i="1"/>
  <c r="S165" i="1"/>
  <c r="T165" i="1"/>
  <c r="U165" i="1"/>
  <c r="V165" i="1"/>
  <c r="W165" i="1"/>
  <c r="B166" i="1"/>
  <c r="C166" i="1"/>
  <c r="Q166" i="1" s="1"/>
  <c r="H166" i="1"/>
  <c r="I166" i="1"/>
  <c r="J166" i="1"/>
  <c r="K166" i="1"/>
  <c r="L166" i="1"/>
  <c r="M166" i="1"/>
  <c r="N166" i="1"/>
  <c r="O166" i="1"/>
  <c r="R166" i="1"/>
  <c r="S166" i="1"/>
  <c r="T166" i="1"/>
  <c r="U166" i="1"/>
  <c r="V166" i="1"/>
  <c r="W166" i="1"/>
  <c r="X166" i="1"/>
  <c r="B167" i="1"/>
  <c r="C167" i="1"/>
  <c r="Q167" i="1" s="1"/>
  <c r="H167" i="1"/>
  <c r="I167" i="1"/>
  <c r="J167" i="1"/>
  <c r="K167" i="1"/>
  <c r="L167" i="1"/>
  <c r="M167" i="1"/>
  <c r="N167" i="1"/>
  <c r="O167" i="1"/>
  <c r="S167" i="1"/>
  <c r="T167" i="1"/>
  <c r="U167" i="1"/>
  <c r="W167" i="1"/>
  <c r="B168" i="1"/>
  <c r="C168" i="1"/>
  <c r="Q168" i="1" s="1"/>
  <c r="H168" i="1"/>
  <c r="I168" i="1"/>
  <c r="J168" i="1"/>
  <c r="K168" i="1"/>
  <c r="L168" i="1"/>
  <c r="M168" i="1"/>
  <c r="N168" i="1"/>
  <c r="O168" i="1"/>
  <c r="P168" i="1"/>
  <c r="R168" i="1"/>
  <c r="S168" i="1"/>
  <c r="T168" i="1"/>
  <c r="U168" i="1"/>
  <c r="V168" i="1"/>
  <c r="W168" i="1"/>
  <c r="X168" i="1"/>
  <c r="B169" i="1"/>
  <c r="C169" i="1"/>
  <c r="P169" i="1" s="1"/>
  <c r="H169" i="1"/>
  <c r="I169" i="1"/>
  <c r="J169" i="1"/>
  <c r="K169" i="1"/>
  <c r="L169" i="1"/>
  <c r="M169" i="1"/>
  <c r="N169" i="1"/>
  <c r="O169" i="1"/>
  <c r="Q169" i="1"/>
  <c r="S169" i="1"/>
  <c r="T169" i="1"/>
  <c r="U169" i="1"/>
  <c r="W169" i="1"/>
  <c r="B170" i="1"/>
  <c r="C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B171" i="1"/>
  <c r="C171" i="1"/>
  <c r="Q171" i="1" s="1"/>
  <c r="H171" i="1"/>
  <c r="I171" i="1"/>
  <c r="J171" i="1"/>
  <c r="K171" i="1"/>
  <c r="L171" i="1"/>
  <c r="M171" i="1"/>
  <c r="N171" i="1"/>
  <c r="O171" i="1"/>
  <c r="S171" i="1"/>
  <c r="T171" i="1"/>
  <c r="U171" i="1"/>
  <c r="W171" i="1"/>
  <c r="B172" i="1"/>
  <c r="C172" i="1"/>
  <c r="Q172" i="1" s="1"/>
  <c r="H172" i="1"/>
  <c r="I172" i="1"/>
  <c r="J172" i="1"/>
  <c r="K172" i="1"/>
  <c r="L172" i="1"/>
  <c r="M172" i="1"/>
  <c r="N172" i="1"/>
  <c r="O172" i="1"/>
  <c r="P172" i="1"/>
  <c r="R172" i="1"/>
  <c r="S172" i="1"/>
  <c r="T172" i="1"/>
  <c r="U172" i="1"/>
  <c r="V172" i="1"/>
  <c r="W172" i="1"/>
  <c r="X172" i="1"/>
  <c r="B173" i="1"/>
  <c r="C173" i="1"/>
  <c r="P173" i="1" s="1"/>
  <c r="H173" i="1"/>
  <c r="I173" i="1"/>
  <c r="J173" i="1"/>
  <c r="K173" i="1"/>
  <c r="L173" i="1"/>
  <c r="M173" i="1"/>
  <c r="N173" i="1"/>
  <c r="O173" i="1"/>
  <c r="Q173" i="1"/>
  <c r="S173" i="1"/>
  <c r="T173" i="1"/>
  <c r="U173" i="1"/>
  <c r="W173" i="1"/>
  <c r="B174" i="1"/>
  <c r="C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B175" i="1"/>
  <c r="C175" i="1"/>
  <c r="Q175" i="1" s="1"/>
  <c r="H175" i="1"/>
  <c r="I175" i="1"/>
  <c r="J175" i="1"/>
  <c r="K175" i="1"/>
  <c r="L175" i="1"/>
  <c r="M175" i="1"/>
  <c r="N175" i="1"/>
  <c r="O175" i="1"/>
  <c r="S175" i="1"/>
  <c r="T175" i="1"/>
  <c r="U175" i="1"/>
  <c r="W175" i="1"/>
  <c r="B176" i="1"/>
  <c r="C176" i="1"/>
  <c r="Q176" i="1" s="1"/>
  <c r="H176" i="1"/>
  <c r="I176" i="1"/>
  <c r="J176" i="1"/>
  <c r="K176" i="1"/>
  <c r="L176" i="1"/>
  <c r="M176" i="1"/>
  <c r="N176" i="1"/>
  <c r="O176" i="1"/>
  <c r="P176" i="1"/>
  <c r="R176" i="1"/>
  <c r="S176" i="1"/>
  <c r="T176" i="1"/>
  <c r="U176" i="1"/>
  <c r="V176" i="1"/>
  <c r="W176" i="1"/>
  <c r="X176" i="1"/>
  <c r="B177" i="1"/>
  <c r="C177" i="1"/>
  <c r="P177" i="1" s="1"/>
  <c r="H177" i="1"/>
  <c r="I177" i="1"/>
  <c r="J177" i="1"/>
  <c r="K177" i="1"/>
  <c r="L177" i="1"/>
  <c r="M177" i="1"/>
  <c r="N177" i="1"/>
  <c r="O177" i="1"/>
  <c r="Q177" i="1"/>
  <c r="S177" i="1"/>
  <c r="T177" i="1"/>
  <c r="U177" i="1"/>
  <c r="W177" i="1"/>
  <c r="B178" i="1"/>
  <c r="C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B179" i="1"/>
  <c r="C179" i="1"/>
  <c r="Q179" i="1" s="1"/>
  <c r="H179" i="1"/>
  <c r="I179" i="1"/>
  <c r="J179" i="1"/>
  <c r="K179" i="1"/>
  <c r="L179" i="1"/>
  <c r="M179" i="1"/>
  <c r="N179" i="1"/>
  <c r="O179" i="1"/>
  <c r="S179" i="1"/>
  <c r="T179" i="1"/>
  <c r="U179" i="1"/>
  <c r="W179" i="1"/>
  <c r="B180" i="1"/>
  <c r="C180" i="1"/>
  <c r="Q180" i="1" s="1"/>
  <c r="H180" i="1"/>
  <c r="I180" i="1"/>
  <c r="J180" i="1"/>
  <c r="K180" i="1"/>
  <c r="L180" i="1"/>
  <c r="M180" i="1"/>
  <c r="N180" i="1"/>
  <c r="O180" i="1"/>
  <c r="P180" i="1"/>
  <c r="R180" i="1"/>
  <c r="S180" i="1"/>
  <c r="T180" i="1"/>
  <c r="U180" i="1"/>
  <c r="V180" i="1"/>
  <c r="W180" i="1"/>
  <c r="X180" i="1"/>
  <c r="B181" i="1"/>
  <c r="C181" i="1"/>
  <c r="P181" i="1" s="1"/>
  <c r="H181" i="1"/>
  <c r="I181" i="1"/>
  <c r="J181" i="1"/>
  <c r="K181" i="1"/>
  <c r="L181" i="1"/>
  <c r="M181" i="1"/>
  <c r="N181" i="1"/>
  <c r="O181" i="1"/>
  <c r="Q181" i="1"/>
  <c r="S181" i="1"/>
  <c r="T181" i="1"/>
  <c r="U181" i="1"/>
  <c r="W181" i="1"/>
  <c r="B182" i="1"/>
  <c r="C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B183" i="1"/>
  <c r="C183" i="1"/>
  <c r="Q183" i="1" s="1"/>
  <c r="H183" i="1"/>
  <c r="I183" i="1"/>
  <c r="J183" i="1"/>
  <c r="K183" i="1"/>
  <c r="L183" i="1"/>
  <c r="M183" i="1"/>
  <c r="N183" i="1"/>
  <c r="O183" i="1"/>
  <c r="S183" i="1"/>
  <c r="T183" i="1"/>
  <c r="U183" i="1"/>
  <c r="W183" i="1"/>
  <c r="B184" i="1"/>
  <c r="C184" i="1"/>
  <c r="Q184" i="1" s="1"/>
  <c r="H184" i="1"/>
  <c r="I184" i="1"/>
  <c r="J184" i="1"/>
  <c r="K184" i="1"/>
  <c r="L184" i="1"/>
  <c r="M184" i="1"/>
  <c r="N184" i="1"/>
  <c r="O184" i="1"/>
  <c r="P184" i="1"/>
  <c r="R184" i="1"/>
  <c r="S184" i="1"/>
  <c r="T184" i="1"/>
  <c r="U184" i="1"/>
  <c r="V184" i="1"/>
  <c r="W184" i="1"/>
  <c r="X184" i="1"/>
  <c r="B185" i="1"/>
  <c r="C185" i="1"/>
  <c r="P185" i="1" s="1"/>
  <c r="H185" i="1"/>
  <c r="I185" i="1"/>
  <c r="J185" i="1"/>
  <c r="K185" i="1"/>
  <c r="L185" i="1"/>
  <c r="M185" i="1"/>
  <c r="N185" i="1"/>
  <c r="O185" i="1"/>
  <c r="Q185" i="1"/>
  <c r="S185" i="1"/>
  <c r="T185" i="1"/>
  <c r="U185" i="1"/>
  <c r="W185" i="1"/>
  <c r="B186" i="1"/>
  <c r="C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B187" i="1"/>
  <c r="C187" i="1"/>
  <c r="Q187" i="1" s="1"/>
  <c r="H187" i="1"/>
  <c r="I187" i="1"/>
  <c r="J187" i="1"/>
  <c r="K187" i="1"/>
  <c r="L187" i="1"/>
  <c r="M187" i="1"/>
  <c r="N187" i="1"/>
  <c r="O187" i="1"/>
  <c r="S187" i="1"/>
  <c r="T187" i="1"/>
  <c r="U187" i="1"/>
  <c r="W187" i="1"/>
  <c r="B188" i="1"/>
  <c r="C188" i="1"/>
  <c r="Q188" i="1" s="1"/>
  <c r="H188" i="1"/>
  <c r="I188" i="1"/>
  <c r="J188" i="1"/>
  <c r="K188" i="1"/>
  <c r="L188" i="1"/>
  <c r="M188" i="1"/>
  <c r="N188" i="1"/>
  <c r="O188" i="1"/>
  <c r="P188" i="1"/>
  <c r="R188" i="1"/>
  <c r="S188" i="1"/>
  <c r="T188" i="1"/>
  <c r="U188" i="1"/>
  <c r="V188" i="1"/>
  <c r="W188" i="1"/>
  <c r="X188" i="1"/>
  <c r="B189" i="1"/>
  <c r="C189" i="1"/>
  <c r="P189" i="1" s="1"/>
  <c r="H189" i="1"/>
  <c r="I189" i="1"/>
  <c r="J189" i="1"/>
  <c r="K189" i="1"/>
  <c r="L189" i="1"/>
  <c r="M189" i="1"/>
  <c r="N189" i="1"/>
  <c r="O189" i="1"/>
  <c r="Q189" i="1"/>
  <c r="S189" i="1"/>
  <c r="T189" i="1"/>
  <c r="U189" i="1"/>
  <c r="W189" i="1"/>
  <c r="B190" i="1"/>
  <c r="C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B191" i="1"/>
  <c r="C191" i="1"/>
  <c r="Q191" i="1" s="1"/>
  <c r="H191" i="1"/>
  <c r="I191" i="1"/>
  <c r="J191" i="1"/>
  <c r="K191" i="1"/>
  <c r="L191" i="1"/>
  <c r="M191" i="1"/>
  <c r="N191" i="1"/>
  <c r="O191" i="1"/>
  <c r="S191" i="1"/>
  <c r="T191" i="1"/>
  <c r="U191" i="1"/>
  <c r="W191" i="1"/>
  <c r="B192" i="1"/>
  <c r="C192" i="1"/>
  <c r="Q192" i="1" s="1"/>
  <c r="H192" i="1"/>
  <c r="I192" i="1"/>
  <c r="J192" i="1"/>
  <c r="K192" i="1"/>
  <c r="L192" i="1"/>
  <c r="M192" i="1"/>
  <c r="N192" i="1"/>
  <c r="O192" i="1"/>
  <c r="P192" i="1"/>
  <c r="R192" i="1"/>
  <c r="S192" i="1"/>
  <c r="T192" i="1"/>
  <c r="U192" i="1"/>
  <c r="V192" i="1"/>
  <c r="W192" i="1"/>
  <c r="X192" i="1"/>
  <c r="B193" i="1"/>
  <c r="C193" i="1"/>
  <c r="P193" i="1" s="1"/>
  <c r="H193" i="1"/>
  <c r="I193" i="1"/>
  <c r="J193" i="1"/>
  <c r="K193" i="1"/>
  <c r="L193" i="1"/>
  <c r="M193" i="1"/>
  <c r="N193" i="1"/>
  <c r="O193" i="1"/>
  <c r="Q193" i="1"/>
  <c r="S193" i="1"/>
  <c r="T193" i="1"/>
  <c r="U193" i="1"/>
  <c r="W193" i="1"/>
  <c r="B194" i="1"/>
  <c r="C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B195" i="1"/>
  <c r="C195" i="1"/>
  <c r="Q195" i="1" s="1"/>
  <c r="H195" i="1"/>
  <c r="I195" i="1"/>
  <c r="J195" i="1"/>
  <c r="K195" i="1"/>
  <c r="L195" i="1"/>
  <c r="M195" i="1"/>
  <c r="N195" i="1"/>
  <c r="O195" i="1"/>
  <c r="S195" i="1"/>
  <c r="T195" i="1"/>
  <c r="U195" i="1"/>
  <c r="W195" i="1"/>
  <c r="B196" i="1"/>
  <c r="C196" i="1"/>
  <c r="Q196" i="1" s="1"/>
  <c r="H196" i="1"/>
  <c r="I196" i="1"/>
  <c r="J196" i="1"/>
  <c r="K196" i="1"/>
  <c r="L196" i="1"/>
  <c r="M196" i="1"/>
  <c r="N196" i="1"/>
  <c r="O196" i="1"/>
  <c r="P196" i="1"/>
  <c r="R196" i="1"/>
  <c r="S196" i="1"/>
  <c r="T196" i="1"/>
  <c r="U196" i="1"/>
  <c r="V196" i="1"/>
  <c r="W196" i="1"/>
  <c r="X196" i="1"/>
  <c r="B197" i="1"/>
  <c r="C197" i="1"/>
  <c r="P197" i="1" s="1"/>
  <c r="H197" i="1"/>
  <c r="I197" i="1"/>
  <c r="J197" i="1"/>
  <c r="K197" i="1"/>
  <c r="L197" i="1"/>
  <c r="M197" i="1"/>
  <c r="N197" i="1"/>
  <c r="O197" i="1"/>
  <c r="Q197" i="1"/>
  <c r="S197" i="1"/>
  <c r="T197" i="1"/>
  <c r="U197" i="1"/>
  <c r="W197" i="1"/>
  <c r="B198" i="1"/>
  <c r="C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B199" i="1"/>
  <c r="C199" i="1"/>
  <c r="Q199" i="1" s="1"/>
  <c r="H199" i="1"/>
  <c r="I199" i="1"/>
  <c r="J199" i="1"/>
  <c r="K199" i="1"/>
  <c r="L199" i="1"/>
  <c r="M199" i="1"/>
  <c r="N199" i="1"/>
  <c r="O199" i="1"/>
  <c r="S199" i="1"/>
  <c r="T199" i="1"/>
  <c r="U199" i="1"/>
  <c r="W199" i="1"/>
  <c r="B200" i="1"/>
  <c r="C200" i="1"/>
  <c r="Q200" i="1" s="1"/>
  <c r="H200" i="1"/>
  <c r="I200" i="1"/>
  <c r="J200" i="1"/>
  <c r="K200" i="1"/>
  <c r="L200" i="1"/>
  <c r="M200" i="1"/>
  <c r="N200" i="1"/>
  <c r="O200" i="1"/>
  <c r="P200" i="1"/>
  <c r="R200" i="1"/>
  <c r="S200" i="1"/>
  <c r="T200" i="1"/>
  <c r="U200" i="1"/>
  <c r="V200" i="1"/>
  <c r="W200" i="1"/>
  <c r="X200" i="1"/>
  <c r="B201" i="1"/>
  <c r="C201" i="1"/>
  <c r="P201" i="1" s="1"/>
  <c r="H201" i="1"/>
  <c r="I201" i="1"/>
  <c r="J201" i="1"/>
  <c r="K201" i="1"/>
  <c r="L201" i="1"/>
  <c r="M201" i="1"/>
  <c r="N201" i="1"/>
  <c r="O201" i="1"/>
  <c r="Q201" i="1"/>
  <c r="S201" i="1"/>
  <c r="T201" i="1"/>
  <c r="U201" i="1"/>
  <c r="W201" i="1"/>
  <c r="B202" i="1"/>
  <c r="C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B203" i="1"/>
  <c r="C203" i="1"/>
  <c r="Q203" i="1" s="1"/>
  <c r="H203" i="1"/>
  <c r="I203" i="1"/>
  <c r="J203" i="1"/>
  <c r="K203" i="1"/>
  <c r="L203" i="1"/>
  <c r="M203" i="1"/>
  <c r="N203" i="1"/>
  <c r="O203" i="1"/>
  <c r="S203" i="1"/>
  <c r="T203" i="1"/>
  <c r="U203" i="1"/>
  <c r="W203" i="1"/>
  <c r="B204" i="1"/>
  <c r="C204" i="1"/>
  <c r="Q204" i="1" s="1"/>
  <c r="H204" i="1"/>
  <c r="I204" i="1"/>
  <c r="J204" i="1"/>
  <c r="K204" i="1"/>
  <c r="L204" i="1"/>
  <c r="M204" i="1"/>
  <c r="N204" i="1"/>
  <c r="O204" i="1"/>
  <c r="P204" i="1"/>
  <c r="R204" i="1"/>
  <c r="S204" i="1"/>
  <c r="T204" i="1"/>
  <c r="U204" i="1"/>
  <c r="V204" i="1"/>
  <c r="W204" i="1"/>
  <c r="X204" i="1"/>
  <c r="B205" i="1"/>
  <c r="C205" i="1"/>
  <c r="P205" i="1" s="1"/>
  <c r="H205" i="1"/>
  <c r="I205" i="1"/>
  <c r="J205" i="1"/>
  <c r="K205" i="1"/>
  <c r="L205" i="1"/>
  <c r="M205" i="1"/>
  <c r="N205" i="1"/>
  <c r="O205" i="1"/>
  <c r="Q205" i="1"/>
  <c r="S205" i="1"/>
  <c r="T205" i="1"/>
  <c r="U205" i="1"/>
  <c r="W205" i="1"/>
  <c r="B206" i="1"/>
  <c r="C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B207" i="1"/>
  <c r="C207" i="1"/>
  <c r="Q207" i="1" s="1"/>
  <c r="H207" i="1"/>
  <c r="I207" i="1"/>
  <c r="J207" i="1"/>
  <c r="K207" i="1"/>
  <c r="L207" i="1"/>
  <c r="M207" i="1"/>
  <c r="N207" i="1"/>
  <c r="O207" i="1"/>
  <c r="S207" i="1"/>
  <c r="T207" i="1"/>
  <c r="U207" i="1"/>
  <c r="W207" i="1"/>
  <c r="B208" i="1"/>
  <c r="C208" i="1"/>
  <c r="Q208" i="1" s="1"/>
  <c r="H208" i="1"/>
  <c r="I208" i="1"/>
  <c r="J208" i="1"/>
  <c r="K208" i="1"/>
  <c r="L208" i="1"/>
  <c r="M208" i="1"/>
  <c r="N208" i="1"/>
  <c r="O208" i="1"/>
  <c r="P208" i="1"/>
  <c r="R208" i="1"/>
  <c r="S208" i="1"/>
  <c r="T208" i="1"/>
  <c r="U208" i="1"/>
  <c r="V208" i="1"/>
  <c r="W208" i="1"/>
  <c r="X208" i="1"/>
  <c r="B209" i="1"/>
  <c r="C209" i="1"/>
  <c r="P209" i="1" s="1"/>
  <c r="H209" i="1"/>
  <c r="I209" i="1"/>
  <c r="J209" i="1"/>
  <c r="K209" i="1"/>
  <c r="L209" i="1"/>
  <c r="M209" i="1"/>
  <c r="N209" i="1"/>
  <c r="O209" i="1"/>
  <c r="Q209" i="1"/>
  <c r="S209" i="1"/>
  <c r="T209" i="1"/>
  <c r="U209" i="1"/>
  <c r="W209" i="1"/>
  <c r="B210" i="1"/>
  <c r="C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B211" i="1"/>
  <c r="C211" i="1"/>
  <c r="Q211" i="1" s="1"/>
  <c r="H211" i="1"/>
  <c r="I211" i="1"/>
  <c r="J211" i="1"/>
  <c r="K211" i="1"/>
  <c r="L211" i="1"/>
  <c r="M211" i="1"/>
  <c r="N211" i="1"/>
  <c r="O211" i="1"/>
  <c r="S211" i="1"/>
  <c r="T211" i="1"/>
  <c r="U211" i="1"/>
  <c r="W211" i="1"/>
  <c r="B212" i="1"/>
  <c r="C212" i="1"/>
  <c r="Q212" i="1" s="1"/>
  <c r="H212" i="1"/>
  <c r="I212" i="1"/>
  <c r="J212" i="1"/>
  <c r="K212" i="1"/>
  <c r="L212" i="1"/>
  <c r="M212" i="1"/>
  <c r="N212" i="1"/>
  <c r="O212" i="1"/>
  <c r="P212" i="1"/>
  <c r="R212" i="1"/>
  <c r="S212" i="1"/>
  <c r="T212" i="1"/>
  <c r="U212" i="1"/>
  <c r="V212" i="1"/>
  <c r="W212" i="1"/>
  <c r="X212" i="1"/>
  <c r="B213" i="1"/>
  <c r="C213" i="1"/>
  <c r="P213" i="1" s="1"/>
  <c r="H213" i="1"/>
  <c r="I213" i="1"/>
  <c r="J213" i="1"/>
  <c r="K213" i="1"/>
  <c r="L213" i="1"/>
  <c r="M213" i="1"/>
  <c r="N213" i="1"/>
  <c r="O213" i="1"/>
  <c r="Q213" i="1"/>
  <c r="S213" i="1"/>
  <c r="T213" i="1"/>
  <c r="U213" i="1"/>
  <c r="W213" i="1"/>
  <c r="B214" i="1"/>
  <c r="C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B215" i="1"/>
  <c r="C215" i="1"/>
  <c r="H215" i="1"/>
  <c r="I215" i="1"/>
  <c r="J215" i="1"/>
  <c r="K215" i="1"/>
  <c r="L215" i="1"/>
  <c r="M215" i="1"/>
  <c r="N215" i="1"/>
  <c r="O215" i="1"/>
  <c r="S215" i="1"/>
  <c r="T215" i="1"/>
  <c r="U215" i="1"/>
  <c r="W215" i="1"/>
  <c r="B216" i="1"/>
  <c r="C216" i="1"/>
  <c r="Q216" i="1" s="1"/>
  <c r="H216" i="1"/>
  <c r="I216" i="1"/>
  <c r="J216" i="1"/>
  <c r="K216" i="1"/>
  <c r="L216" i="1"/>
  <c r="M216" i="1"/>
  <c r="N216" i="1"/>
  <c r="O216" i="1"/>
  <c r="P216" i="1"/>
  <c r="R216" i="1"/>
  <c r="S216" i="1"/>
  <c r="T216" i="1"/>
  <c r="U216" i="1"/>
  <c r="V216" i="1"/>
  <c r="W216" i="1"/>
  <c r="X216" i="1"/>
  <c r="B217" i="1"/>
  <c r="C217" i="1"/>
  <c r="P217" i="1" s="1"/>
  <c r="H217" i="1"/>
  <c r="I217" i="1"/>
  <c r="J217" i="1"/>
  <c r="K217" i="1"/>
  <c r="L217" i="1"/>
  <c r="M217" i="1"/>
  <c r="N217" i="1"/>
  <c r="O217" i="1"/>
  <c r="Q217" i="1"/>
  <c r="S217" i="1"/>
  <c r="T217" i="1"/>
  <c r="U217" i="1"/>
  <c r="W217" i="1"/>
  <c r="B218" i="1"/>
  <c r="C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B219" i="1"/>
  <c r="C219" i="1"/>
  <c r="H219" i="1"/>
  <c r="I219" i="1"/>
  <c r="J219" i="1"/>
  <c r="K219" i="1"/>
  <c r="L219" i="1"/>
  <c r="M219" i="1"/>
  <c r="N219" i="1"/>
  <c r="O219" i="1"/>
  <c r="S219" i="1"/>
  <c r="T219" i="1"/>
  <c r="U219" i="1"/>
  <c r="W219" i="1"/>
  <c r="B220" i="1"/>
  <c r="C220" i="1"/>
  <c r="Q220" i="1" s="1"/>
  <c r="H220" i="1"/>
  <c r="I220" i="1"/>
  <c r="J220" i="1"/>
  <c r="K220" i="1"/>
  <c r="L220" i="1"/>
  <c r="M220" i="1"/>
  <c r="N220" i="1"/>
  <c r="O220" i="1"/>
  <c r="P220" i="1"/>
  <c r="R220" i="1"/>
  <c r="S220" i="1"/>
  <c r="T220" i="1"/>
  <c r="U220" i="1"/>
  <c r="V220" i="1"/>
  <c r="W220" i="1"/>
  <c r="X220" i="1"/>
  <c r="B221" i="1"/>
  <c r="C221" i="1"/>
  <c r="P221" i="1" s="1"/>
  <c r="H221" i="1"/>
  <c r="I221" i="1"/>
  <c r="J221" i="1"/>
  <c r="K221" i="1"/>
  <c r="L221" i="1"/>
  <c r="M221" i="1"/>
  <c r="N221" i="1"/>
  <c r="O221" i="1"/>
  <c r="Q221" i="1"/>
  <c r="S221" i="1"/>
  <c r="T221" i="1"/>
  <c r="U221" i="1"/>
  <c r="W221" i="1"/>
  <c r="B222" i="1"/>
  <c r="C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B223" i="1"/>
  <c r="C223" i="1"/>
  <c r="Q223" i="1" s="1"/>
  <c r="H223" i="1"/>
  <c r="I223" i="1"/>
  <c r="J223" i="1"/>
  <c r="K223" i="1"/>
  <c r="L223" i="1"/>
  <c r="M223" i="1"/>
  <c r="N223" i="1"/>
  <c r="O223" i="1"/>
  <c r="S223" i="1"/>
  <c r="T223" i="1"/>
  <c r="U223" i="1"/>
  <c r="W223" i="1"/>
  <c r="B224" i="1"/>
  <c r="C224" i="1"/>
  <c r="Q224" i="1" s="1"/>
  <c r="H224" i="1"/>
  <c r="I224" i="1"/>
  <c r="J224" i="1"/>
  <c r="K224" i="1"/>
  <c r="L224" i="1"/>
  <c r="M224" i="1"/>
  <c r="N224" i="1"/>
  <c r="O224" i="1"/>
  <c r="P224" i="1"/>
  <c r="R224" i="1"/>
  <c r="S224" i="1"/>
  <c r="T224" i="1"/>
  <c r="U224" i="1"/>
  <c r="V224" i="1"/>
  <c r="W224" i="1"/>
  <c r="X224" i="1"/>
  <c r="B225" i="1"/>
  <c r="C225" i="1"/>
  <c r="H225" i="1"/>
  <c r="I225" i="1"/>
  <c r="J225" i="1"/>
  <c r="K225" i="1"/>
  <c r="L225" i="1"/>
  <c r="M225" i="1"/>
  <c r="N225" i="1"/>
  <c r="O225" i="1"/>
  <c r="Q225" i="1"/>
  <c r="S225" i="1"/>
  <c r="T225" i="1"/>
  <c r="U225" i="1"/>
  <c r="W225" i="1"/>
  <c r="B226" i="1"/>
  <c r="C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B227" i="1"/>
  <c r="C227" i="1"/>
  <c r="H227" i="1"/>
  <c r="I227" i="1"/>
  <c r="J227" i="1"/>
  <c r="K227" i="1"/>
  <c r="L227" i="1"/>
  <c r="M227" i="1"/>
  <c r="N227" i="1"/>
  <c r="O227" i="1"/>
  <c r="Q227" i="1"/>
  <c r="S227" i="1"/>
  <c r="T227" i="1"/>
  <c r="U227" i="1"/>
  <c r="W227" i="1"/>
  <c r="B228" i="1"/>
  <c r="C228" i="1"/>
  <c r="Q228" i="1" s="1"/>
  <c r="H228" i="1"/>
  <c r="I228" i="1"/>
  <c r="J228" i="1"/>
  <c r="K228" i="1"/>
  <c r="L228" i="1"/>
  <c r="M228" i="1"/>
  <c r="N228" i="1"/>
  <c r="O228" i="1"/>
  <c r="P228" i="1"/>
  <c r="R228" i="1"/>
  <c r="S228" i="1"/>
  <c r="T228" i="1"/>
  <c r="U228" i="1"/>
  <c r="V228" i="1"/>
  <c r="W228" i="1"/>
  <c r="X228" i="1"/>
  <c r="B229" i="1"/>
  <c r="C229" i="1"/>
  <c r="Q229" i="1" s="1"/>
  <c r="H229" i="1"/>
  <c r="I229" i="1"/>
  <c r="J229" i="1"/>
  <c r="K229" i="1"/>
  <c r="L229" i="1"/>
  <c r="M229" i="1"/>
  <c r="N229" i="1"/>
  <c r="O229" i="1"/>
  <c r="S229" i="1"/>
  <c r="T229" i="1"/>
  <c r="U229" i="1"/>
  <c r="W229" i="1"/>
  <c r="B230" i="1"/>
  <c r="C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B231" i="1"/>
  <c r="C231" i="1"/>
  <c r="Q231" i="1" s="1"/>
  <c r="H231" i="1"/>
  <c r="I231" i="1"/>
  <c r="J231" i="1"/>
  <c r="K231" i="1"/>
  <c r="L231" i="1"/>
  <c r="M231" i="1"/>
  <c r="N231" i="1"/>
  <c r="O231" i="1"/>
  <c r="S231" i="1"/>
  <c r="T231" i="1"/>
  <c r="U231" i="1"/>
  <c r="W231" i="1"/>
  <c r="B232" i="1"/>
  <c r="C232" i="1"/>
  <c r="Q232" i="1" s="1"/>
  <c r="H232" i="1"/>
  <c r="I232" i="1"/>
  <c r="J232" i="1"/>
  <c r="K232" i="1"/>
  <c r="L232" i="1"/>
  <c r="M232" i="1"/>
  <c r="N232" i="1"/>
  <c r="O232" i="1"/>
  <c r="P232" i="1"/>
  <c r="R232" i="1"/>
  <c r="S232" i="1"/>
  <c r="T232" i="1"/>
  <c r="U232" i="1"/>
  <c r="V232" i="1"/>
  <c r="W232" i="1"/>
  <c r="X232" i="1"/>
  <c r="B233" i="1"/>
  <c r="C233" i="1"/>
  <c r="H233" i="1"/>
  <c r="I233" i="1"/>
  <c r="J233" i="1"/>
  <c r="K233" i="1"/>
  <c r="L233" i="1"/>
  <c r="M233" i="1"/>
  <c r="N233" i="1"/>
  <c r="O233" i="1"/>
  <c r="Q233" i="1"/>
  <c r="S233" i="1"/>
  <c r="T233" i="1"/>
  <c r="U233" i="1"/>
  <c r="W233" i="1"/>
  <c r="B234" i="1"/>
  <c r="C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B235" i="1"/>
  <c r="C235" i="1"/>
  <c r="H235" i="1"/>
  <c r="I235" i="1"/>
  <c r="J235" i="1"/>
  <c r="K235" i="1"/>
  <c r="L235" i="1"/>
  <c r="M235" i="1"/>
  <c r="N235" i="1"/>
  <c r="O235" i="1"/>
  <c r="Q235" i="1"/>
  <c r="S235" i="1"/>
  <c r="T235" i="1"/>
  <c r="U235" i="1"/>
  <c r="W235" i="1"/>
  <c r="B236" i="1"/>
  <c r="C236" i="1"/>
  <c r="Q236" i="1" s="1"/>
  <c r="H236" i="1"/>
  <c r="I236" i="1"/>
  <c r="J236" i="1"/>
  <c r="K236" i="1"/>
  <c r="L236" i="1"/>
  <c r="M236" i="1"/>
  <c r="N236" i="1"/>
  <c r="O236" i="1"/>
  <c r="P236" i="1"/>
  <c r="R236" i="1"/>
  <c r="S236" i="1"/>
  <c r="T236" i="1"/>
  <c r="U236" i="1"/>
  <c r="V236" i="1"/>
  <c r="W236" i="1"/>
  <c r="X236" i="1"/>
  <c r="B237" i="1"/>
  <c r="C237" i="1"/>
  <c r="P237" i="1" s="1"/>
  <c r="H237" i="1"/>
  <c r="I237" i="1"/>
  <c r="J237" i="1"/>
  <c r="K237" i="1"/>
  <c r="L237" i="1"/>
  <c r="M237" i="1"/>
  <c r="N237" i="1"/>
  <c r="O237" i="1"/>
  <c r="Q237" i="1"/>
  <c r="S237" i="1"/>
  <c r="T237" i="1"/>
  <c r="U237" i="1"/>
  <c r="W237" i="1"/>
  <c r="B238" i="1"/>
  <c r="C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B239" i="1"/>
  <c r="C239" i="1"/>
  <c r="Q239" i="1" s="1"/>
  <c r="H239" i="1"/>
  <c r="I239" i="1"/>
  <c r="J239" i="1"/>
  <c r="K239" i="1"/>
  <c r="L239" i="1"/>
  <c r="M239" i="1"/>
  <c r="N239" i="1"/>
  <c r="O239" i="1"/>
  <c r="R239" i="1"/>
  <c r="S239" i="1"/>
  <c r="T239" i="1"/>
  <c r="U239" i="1"/>
  <c r="V239" i="1"/>
  <c r="W239" i="1"/>
  <c r="B240" i="1"/>
  <c r="C240" i="1"/>
  <c r="Q240" i="1" s="1"/>
  <c r="H240" i="1"/>
  <c r="I240" i="1"/>
  <c r="J240" i="1"/>
  <c r="K240" i="1"/>
  <c r="L240" i="1"/>
  <c r="M240" i="1"/>
  <c r="N240" i="1"/>
  <c r="O240" i="1"/>
  <c r="P240" i="1"/>
  <c r="S240" i="1"/>
  <c r="T240" i="1"/>
  <c r="U240" i="1"/>
  <c r="W240" i="1"/>
  <c r="X240" i="1"/>
  <c r="B241" i="1"/>
  <c r="C241" i="1"/>
  <c r="H241" i="1"/>
  <c r="I241" i="1"/>
  <c r="J241" i="1"/>
  <c r="K241" i="1"/>
  <c r="L241" i="1"/>
  <c r="M241" i="1"/>
  <c r="N241" i="1"/>
  <c r="O241" i="1"/>
  <c r="P241" i="1"/>
  <c r="Q241" i="1"/>
  <c r="S241" i="1"/>
  <c r="T241" i="1"/>
  <c r="U241" i="1"/>
  <c r="W241" i="1"/>
  <c r="X241" i="1"/>
  <c r="B242" i="1"/>
  <c r="C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B243" i="1"/>
  <c r="C243" i="1"/>
  <c r="H243" i="1"/>
  <c r="I243" i="1"/>
  <c r="J243" i="1"/>
  <c r="K243" i="1"/>
  <c r="L243" i="1"/>
  <c r="M243" i="1"/>
  <c r="N243" i="1"/>
  <c r="O243" i="1"/>
  <c r="Q243" i="1"/>
  <c r="R243" i="1"/>
  <c r="S243" i="1"/>
  <c r="T243" i="1"/>
  <c r="U243" i="1"/>
  <c r="V243" i="1"/>
  <c r="W243" i="1"/>
  <c r="B244" i="1"/>
  <c r="C244" i="1"/>
  <c r="Q244" i="1" s="1"/>
  <c r="H244" i="1"/>
  <c r="I244" i="1"/>
  <c r="J244" i="1"/>
  <c r="K244" i="1"/>
  <c r="L244" i="1"/>
  <c r="M244" i="1"/>
  <c r="N244" i="1"/>
  <c r="O244" i="1"/>
  <c r="R244" i="1"/>
  <c r="S244" i="1"/>
  <c r="T244" i="1"/>
  <c r="U244" i="1"/>
  <c r="V244" i="1"/>
  <c r="W244" i="1"/>
  <c r="X244" i="1"/>
  <c r="B245" i="1"/>
  <c r="C245" i="1"/>
  <c r="P245" i="1" s="1"/>
  <c r="H245" i="1"/>
  <c r="I245" i="1"/>
  <c r="J245" i="1"/>
  <c r="K245" i="1"/>
  <c r="L245" i="1"/>
  <c r="M245" i="1"/>
  <c r="N245" i="1"/>
  <c r="O245" i="1"/>
  <c r="S245" i="1"/>
  <c r="T245" i="1"/>
  <c r="U245" i="1"/>
  <c r="W245" i="1"/>
  <c r="B246" i="1"/>
  <c r="C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B247" i="1"/>
  <c r="C247" i="1"/>
  <c r="Q247" i="1" s="1"/>
  <c r="H247" i="1"/>
  <c r="I247" i="1"/>
  <c r="J247" i="1"/>
  <c r="K247" i="1"/>
  <c r="L247" i="1"/>
  <c r="M247" i="1"/>
  <c r="N247" i="1"/>
  <c r="O247" i="1"/>
  <c r="S247" i="1"/>
  <c r="T247" i="1"/>
  <c r="U247" i="1"/>
  <c r="W247" i="1"/>
  <c r="B248" i="1"/>
  <c r="C248" i="1"/>
  <c r="Q248" i="1" s="1"/>
  <c r="H248" i="1"/>
  <c r="I248" i="1"/>
  <c r="J248" i="1"/>
  <c r="K248" i="1"/>
  <c r="L248" i="1"/>
  <c r="M248" i="1"/>
  <c r="N248" i="1"/>
  <c r="O248" i="1"/>
  <c r="P248" i="1"/>
  <c r="R248" i="1"/>
  <c r="S248" i="1"/>
  <c r="T248" i="1"/>
  <c r="U248" i="1"/>
  <c r="V248" i="1"/>
  <c r="W248" i="1"/>
  <c r="X248" i="1"/>
  <c r="B249" i="1"/>
  <c r="C249" i="1"/>
  <c r="Q249" i="1" s="1"/>
  <c r="H249" i="1"/>
  <c r="I249" i="1"/>
  <c r="J249" i="1"/>
  <c r="K249" i="1"/>
  <c r="L249" i="1"/>
  <c r="M249" i="1"/>
  <c r="N249" i="1"/>
  <c r="O249" i="1"/>
  <c r="P249" i="1"/>
  <c r="S249" i="1"/>
  <c r="T249" i="1"/>
  <c r="U249" i="1"/>
  <c r="W249" i="1"/>
  <c r="X249" i="1"/>
  <c r="B250" i="1"/>
  <c r="C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B251" i="1"/>
  <c r="C251" i="1"/>
  <c r="R251" i="1" s="1"/>
  <c r="H251" i="1"/>
  <c r="I251" i="1"/>
  <c r="J251" i="1"/>
  <c r="K251" i="1"/>
  <c r="L251" i="1"/>
  <c r="M251" i="1"/>
  <c r="N251" i="1"/>
  <c r="O251" i="1"/>
  <c r="Q251" i="1"/>
  <c r="S251" i="1"/>
  <c r="T251" i="1"/>
  <c r="U251" i="1"/>
  <c r="W251" i="1"/>
  <c r="B252" i="1"/>
  <c r="C252" i="1"/>
  <c r="Q252" i="1" s="1"/>
  <c r="H252" i="1"/>
  <c r="I252" i="1"/>
  <c r="J252" i="1"/>
  <c r="K252" i="1"/>
  <c r="L252" i="1"/>
  <c r="M252" i="1"/>
  <c r="N252" i="1"/>
  <c r="O252" i="1"/>
  <c r="S252" i="1"/>
  <c r="T252" i="1"/>
  <c r="U252" i="1"/>
  <c r="W252" i="1"/>
  <c r="X252" i="1"/>
  <c r="B253" i="1"/>
  <c r="C253" i="1"/>
  <c r="P253" i="1" s="1"/>
  <c r="H253" i="1"/>
  <c r="I253" i="1"/>
  <c r="J253" i="1"/>
  <c r="K253" i="1"/>
  <c r="L253" i="1"/>
  <c r="M253" i="1"/>
  <c r="N253" i="1"/>
  <c r="O253" i="1"/>
  <c r="Q253" i="1"/>
  <c r="S253" i="1"/>
  <c r="T253" i="1"/>
  <c r="U253" i="1"/>
  <c r="W253" i="1"/>
  <c r="B254" i="1"/>
  <c r="C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B255" i="1"/>
  <c r="C255" i="1"/>
  <c r="Q255" i="1" s="1"/>
  <c r="H255" i="1"/>
  <c r="I255" i="1"/>
  <c r="J255" i="1"/>
  <c r="K255" i="1"/>
  <c r="L255" i="1"/>
  <c r="M255" i="1"/>
  <c r="N255" i="1"/>
  <c r="O255" i="1"/>
  <c r="R255" i="1"/>
  <c r="S255" i="1"/>
  <c r="T255" i="1"/>
  <c r="U255" i="1"/>
  <c r="V255" i="1"/>
  <c r="W255" i="1"/>
  <c r="B256" i="1"/>
  <c r="C256" i="1"/>
  <c r="Q256" i="1" s="1"/>
  <c r="H256" i="1"/>
  <c r="I256" i="1"/>
  <c r="J256" i="1"/>
  <c r="K256" i="1"/>
  <c r="L256" i="1"/>
  <c r="M256" i="1"/>
  <c r="N256" i="1"/>
  <c r="O256" i="1"/>
  <c r="P256" i="1"/>
  <c r="S256" i="1"/>
  <c r="T256" i="1"/>
  <c r="U256" i="1"/>
  <c r="W256" i="1"/>
  <c r="X256" i="1"/>
  <c r="B257" i="1"/>
  <c r="C257" i="1"/>
  <c r="H257" i="1"/>
  <c r="I257" i="1"/>
  <c r="J257" i="1"/>
  <c r="K257" i="1"/>
  <c r="L257" i="1"/>
  <c r="M257" i="1"/>
  <c r="N257" i="1"/>
  <c r="O257" i="1"/>
  <c r="P257" i="1"/>
  <c r="Q257" i="1"/>
  <c r="S257" i="1"/>
  <c r="T257" i="1"/>
  <c r="U257" i="1"/>
  <c r="W257" i="1"/>
  <c r="X257" i="1"/>
  <c r="B258" i="1"/>
  <c r="C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B259" i="1"/>
  <c r="C259" i="1"/>
  <c r="H259" i="1"/>
  <c r="I259" i="1"/>
  <c r="J259" i="1"/>
  <c r="K259" i="1"/>
  <c r="L259" i="1"/>
  <c r="M259" i="1"/>
  <c r="N259" i="1"/>
  <c r="O259" i="1"/>
  <c r="Q259" i="1"/>
  <c r="R259" i="1"/>
  <c r="S259" i="1"/>
  <c r="T259" i="1"/>
  <c r="U259" i="1"/>
  <c r="V259" i="1"/>
  <c r="W259" i="1"/>
  <c r="B260" i="1"/>
  <c r="C260" i="1"/>
  <c r="Q260" i="1" s="1"/>
  <c r="H260" i="1"/>
  <c r="I260" i="1"/>
  <c r="J260" i="1"/>
  <c r="K260" i="1"/>
  <c r="L260" i="1"/>
  <c r="M260" i="1"/>
  <c r="N260" i="1"/>
  <c r="O260" i="1"/>
  <c r="R260" i="1"/>
  <c r="S260" i="1"/>
  <c r="T260" i="1"/>
  <c r="U260" i="1"/>
  <c r="V260" i="1"/>
  <c r="W260" i="1"/>
  <c r="X260" i="1"/>
  <c r="B261" i="1"/>
  <c r="C261" i="1"/>
  <c r="P261" i="1" s="1"/>
  <c r="H261" i="1"/>
  <c r="I261" i="1"/>
  <c r="J261" i="1"/>
  <c r="K261" i="1"/>
  <c r="L261" i="1"/>
  <c r="M261" i="1"/>
  <c r="N261" i="1"/>
  <c r="O261" i="1"/>
  <c r="S261" i="1"/>
  <c r="T261" i="1"/>
  <c r="U261" i="1"/>
  <c r="W261" i="1"/>
  <c r="B262" i="1"/>
  <c r="C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B263" i="1"/>
  <c r="C263" i="1"/>
  <c r="Q263" i="1" s="1"/>
  <c r="H263" i="1"/>
  <c r="I263" i="1"/>
  <c r="J263" i="1"/>
  <c r="K263" i="1"/>
  <c r="L263" i="1"/>
  <c r="M263" i="1"/>
  <c r="N263" i="1"/>
  <c r="O263" i="1"/>
  <c r="S263" i="1"/>
  <c r="T263" i="1"/>
  <c r="U263" i="1"/>
  <c r="W263" i="1"/>
  <c r="B264" i="1"/>
  <c r="C264" i="1"/>
  <c r="Q264" i="1" s="1"/>
  <c r="H264" i="1"/>
  <c r="I264" i="1"/>
  <c r="J264" i="1"/>
  <c r="K264" i="1"/>
  <c r="L264" i="1"/>
  <c r="M264" i="1"/>
  <c r="N264" i="1"/>
  <c r="O264" i="1"/>
  <c r="P264" i="1"/>
  <c r="R264" i="1"/>
  <c r="S264" i="1"/>
  <c r="T264" i="1"/>
  <c r="U264" i="1"/>
  <c r="V264" i="1"/>
  <c r="W264" i="1"/>
  <c r="X264" i="1"/>
  <c r="B265" i="1"/>
  <c r="C265" i="1"/>
  <c r="Q265" i="1" s="1"/>
  <c r="H265" i="1"/>
  <c r="I265" i="1"/>
  <c r="J265" i="1"/>
  <c r="K265" i="1"/>
  <c r="L265" i="1"/>
  <c r="M265" i="1"/>
  <c r="N265" i="1"/>
  <c r="O265" i="1"/>
  <c r="P265" i="1"/>
  <c r="S265" i="1"/>
  <c r="T265" i="1"/>
  <c r="U265" i="1"/>
  <c r="W265" i="1"/>
  <c r="X265" i="1"/>
  <c r="B266" i="1"/>
  <c r="C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B267" i="1"/>
  <c r="C267" i="1"/>
  <c r="R267" i="1" s="1"/>
  <c r="H267" i="1"/>
  <c r="I267" i="1"/>
  <c r="J267" i="1"/>
  <c r="K267" i="1"/>
  <c r="L267" i="1"/>
  <c r="M267" i="1"/>
  <c r="N267" i="1"/>
  <c r="O267" i="1"/>
  <c r="Q267" i="1"/>
  <c r="S267" i="1"/>
  <c r="T267" i="1"/>
  <c r="U267" i="1"/>
  <c r="W267" i="1"/>
  <c r="B268" i="1"/>
  <c r="C268" i="1"/>
  <c r="Q268" i="1" s="1"/>
  <c r="H268" i="1"/>
  <c r="I268" i="1"/>
  <c r="J268" i="1"/>
  <c r="K268" i="1"/>
  <c r="L268" i="1"/>
  <c r="M268" i="1"/>
  <c r="N268" i="1"/>
  <c r="O268" i="1"/>
  <c r="S268" i="1"/>
  <c r="T268" i="1"/>
  <c r="U268" i="1"/>
  <c r="W268" i="1"/>
  <c r="X268" i="1"/>
  <c r="B269" i="1"/>
  <c r="C269" i="1"/>
  <c r="P269" i="1" s="1"/>
  <c r="H269" i="1"/>
  <c r="I269" i="1"/>
  <c r="J269" i="1"/>
  <c r="K269" i="1"/>
  <c r="L269" i="1"/>
  <c r="M269" i="1"/>
  <c r="N269" i="1"/>
  <c r="O269" i="1"/>
  <c r="Q269" i="1"/>
  <c r="S269" i="1"/>
  <c r="T269" i="1"/>
  <c r="U269" i="1"/>
  <c r="W269" i="1"/>
  <c r="B270" i="1"/>
  <c r="C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B271" i="1"/>
  <c r="C271" i="1"/>
  <c r="Q271" i="1" s="1"/>
  <c r="H271" i="1"/>
  <c r="I271" i="1"/>
  <c r="J271" i="1"/>
  <c r="K271" i="1"/>
  <c r="L271" i="1"/>
  <c r="M271" i="1"/>
  <c r="N271" i="1"/>
  <c r="O271" i="1"/>
  <c r="R271" i="1"/>
  <c r="S271" i="1"/>
  <c r="T271" i="1"/>
  <c r="U271" i="1"/>
  <c r="V271" i="1"/>
  <c r="W271" i="1"/>
  <c r="B272" i="1"/>
  <c r="C272" i="1"/>
  <c r="Q272" i="1" s="1"/>
  <c r="H272" i="1"/>
  <c r="I272" i="1"/>
  <c r="J272" i="1"/>
  <c r="K272" i="1"/>
  <c r="L272" i="1"/>
  <c r="M272" i="1"/>
  <c r="N272" i="1"/>
  <c r="O272" i="1"/>
  <c r="P272" i="1"/>
  <c r="S272" i="1"/>
  <c r="T272" i="1"/>
  <c r="U272" i="1"/>
  <c r="W272" i="1"/>
  <c r="X272" i="1"/>
  <c r="B273" i="1"/>
  <c r="C273" i="1"/>
  <c r="H273" i="1"/>
  <c r="I273" i="1"/>
  <c r="J273" i="1"/>
  <c r="K273" i="1"/>
  <c r="L273" i="1"/>
  <c r="M273" i="1"/>
  <c r="N273" i="1"/>
  <c r="O273" i="1"/>
  <c r="P273" i="1"/>
  <c r="Q273" i="1"/>
  <c r="S273" i="1"/>
  <c r="T273" i="1"/>
  <c r="U273" i="1"/>
  <c r="W273" i="1"/>
  <c r="X273" i="1"/>
  <c r="B274" i="1"/>
  <c r="C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B275" i="1"/>
  <c r="C275" i="1"/>
  <c r="H275" i="1"/>
  <c r="I275" i="1"/>
  <c r="J275" i="1"/>
  <c r="K275" i="1"/>
  <c r="L275" i="1"/>
  <c r="M275" i="1"/>
  <c r="N275" i="1"/>
  <c r="O275" i="1"/>
  <c r="Q275" i="1"/>
  <c r="R275" i="1"/>
  <c r="S275" i="1"/>
  <c r="T275" i="1"/>
  <c r="U275" i="1"/>
  <c r="V275" i="1"/>
  <c r="W275" i="1"/>
  <c r="B276" i="1"/>
  <c r="C276" i="1"/>
  <c r="Q276" i="1" s="1"/>
  <c r="H276" i="1"/>
  <c r="I276" i="1"/>
  <c r="J276" i="1"/>
  <c r="K276" i="1"/>
  <c r="L276" i="1"/>
  <c r="M276" i="1"/>
  <c r="N276" i="1"/>
  <c r="O276" i="1"/>
  <c r="P276" i="1"/>
  <c r="R276" i="1"/>
  <c r="S276" i="1"/>
  <c r="T276" i="1"/>
  <c r="U276" i="1"/>
  <c r="V276" i="1"/>
  <c r="W276" i="1"/>
  <c r="X276" i="1"/>
  <c r="B277" i="1"/>
  <c r="C277" i="1"/>
  <c r="P277" i="1" s="1"/>
  <c r="H277" i="1"/>
  <c r="I277" i="1"/>
  <c r="J277" i="1"/>
  <c r="K277" i="1"/>
  <c r="L277" i="1"/>
  <c r="M277" i="1"/>
  <c r="N277" i="1"/>
  <c r="O277" i="1"/>
  <c r="S277" i="1"/>
  <c r="T277" i="1"/>
  <c r="U277" i="1"/>
  <c r="W277" i="1"/>
  <c r="B278" i="1"/>
  <c r="C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B279" i="1"/>
  <c r="C279" i="1"/>
  <c r="Q279" i="1" s="1"/>
  <c r="H279" i="1"/>
  <c r="I279" i="1"/>
  <c r="J279" i="1"/>
  <c r="K279" i="1"/>
  <c r="L279" i="1"/>
  <c r="M279" i="1"/>
  <c r="N279" i="1"/>
  <c r="O279" i="1"/>
  <c r="S279" i="1"/>
  <c r="T279" i="1"/>
  <c r="U279" i="1"/>
  <c r="W279" i="1"/>
  <c r="B280" i="1"/>
  <c r="C280" i="1"/>
  <c r="Q280" i="1" s="1"/>
  <c r="H280" i="1"/>
  <c r="I280" i="1"/>
  <c r="J280" i="1"/>
  <c r="K280" i="1"/>
  <c r="L280" i="1"/>
  <c r="M280" i="1"/>
  <c r="N280" i="1"/>
  <c r="O280" i="1"/>
  <c r="P280" i="1"/>
  <c r="R280" i="1"/>
  <c r="S280" i="1"/>
  <c r="T280" i="1"/>
  <c r="U280" i="1"/>
  <c r="V280" i="1"/>
  <c r="W280" i="1"/>
  <c r="X280" i="1"/>
  <c r="B281" i="1"/>
  <c r="C281" i="1"/>
  <c r="Q281" i="1" s="1"/>
  <c r="H281" i="1"/>
  <c r="I281" i="1"/>
  <c r="J281" i="1"/>
  <c r="K281" i="1"/>
  <c r="L281" i="1"/>
  <c r="M281" i="1"/>
  <c r="N281" i="1"/>
  <c r="O281" i="1"/>
  <c r="P281" i="1"/>
  <c r="S281" i="1"/>
  <c r="T281" i="1"/>
  <c r="U281" i="1"/>
  <c r="W281" i="1"/>
  <c r="B282" i="1"/>
  <c r="C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B283" i="1"/>
  <c r="C283" i="1"/>
  <c r="R283" i="1" s="1"/>
  <c r="H283" i="1"/>
  <c r="I283" i="1"/>
  <c r="J283" i="1"/>
  <c r="K283" i="1"/>
  <c r="L283" i="1"/>
  <c r="M283" i="1"/>
  <c r="N283" i="1"/>
  <c r="O283" i="1"/>
  <c r="Q283" i="1"/>
  <c r="S283" i="1"/>
  <c r="T283" i="1"/>
  <c r="U283" i="1"/>
  <c r="W283" i="1"/>
  <c r="B284" i="1"/>
  <c r="C284" i="1"/>
  <c r="Q284" i="1" s="1"/>
  <c r="H284" i="1"/>
  <c r="I284" i="1"/>
  <c r="J284" i="1"/>
  <c r="K284" i="1"/>
  <c r="L284" i="1"/>
  <c r="M284" i="1"/>
  <c r="N284" i="1"/>
  <c r="O284" i="1"/>
  <c r="S284" i="1"/>
  <c r="T284" i="1"/>
  <c r="U284" i="1"/>
  <c r="W284" i="1"/>
  <c r="X284" i="1"/>
  <c r="B285" i="1"/>
  <c r="C285" i="1"/>
  <c r="X285" i="1" s="1"/>
  <c r="H285" i="1"/>
  <c r="I285" i="1"/>
  <c r="J285" i="1"/>
  <c r="K285" i="1"/>
  <c r="L285" i="1"/>
  <c r="M285" i="1"/>
  <c r="N285" i="1"/>
  <c r="O285" i="1"/>
  <c r="P285" i="1"/>
  <c r="Q285" i="1"/>
  <c r="S285" i="1"/>
  <c r="T285" i="1"/>
  <c r="U285" i="1"/>
  <c r="W285" i="1"/>
  <c r="B286" i="1"/>
  <c r="C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B287" i="1"/>
  <c r="C287" i="1"/>
  <c r="H287" i="1"/>
  <c r="I287" i="1"/>
  <c r="J287" i="1"/>
  <c r="K287" i="1"/>
  <c r="L287" i="1"/>
  <c r="M287" i="1"/>
  <c r="N287" i="1"/>
  <c r="O287" i="1"/>
  <c r="Q287" i="1"/>
  <c r="R287" i="1"/>
  <c r="S287" i="1"/>
  <c r="T287" i="1"/>
  <c r="U287" i="1"/>
  <c r="V287" i="1"/>
  <c r="W287" i="1"/>
  <c r="B288" i="1"/>
  <c r="C288" i="1"/>
  <c r="Q288" i="1" s="1"/>
  <c r="H288" i="1"/>
  <c r="I288" i="1"/>
  <c r="J288" i="1"/>
  <c r="K288" i="1"/>
  <c r="L288" i="1"/>
  <c r="M288" i="1"/>
  <c r="N288" i="1"/>
  <c r="O288" i="1"/>
  <c r="P288" i="1"/>
  <c r="S288" i="1"/>
  <c r="T288" i="1"/>
  <c r="U288" i="1"/>
  <c r="W288" i="1"/>
  <c r="X288" i="1"/>
  <c r="B289" i="1"/>
  <c r="C289" i="1"/>
  <c r="H289" i="1"/>
  <c r="I289" i="1"/>
  <c r="J289" i="1"/>
  <c r="K289" i="1"/>
  <c r="L289" i="1"/>
  <c r="M289" i="1"/>
  <c r="N289" i="1"/>
  <c r="O289" i="1"/>
  <c r="P289" i="1"/>
  <c r="Q289" i="1"/>
  <c r="S289" i="1"/>
  <c r="T289" i="1"/>
  <c r="U289" i="1"/>
  <c r="W289" i="1"/>
  <c r="X289" i="1"/>
  <c r="B290" i="1"/>
  <c r="C290" i="1"/>
  <c r="R290" i="1" s="1"/>
  <c r="H290" i="1"/>
  <c r="I290" i="1"/>
  <c r="J290" i="1"/>
  <c r="K290" i="1"/>
  <c r="L290" i="1"/>
  <c r="M290" i="1"/>
  <c r="N290" i="1"/>
  <c r="O290" i="1"/>
  <c r="P290" i="1"/>
  <c r="Q290" i="1"/>
  <c r="S290" i="1"/>
  <c r="T290" i="1"/>
  <c r="U290" i="1"/>
  <c r="W290" i="1"/>
  <c r="X290" i="1"/>
  <c r="B291" i="1"/>
  <c r="C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B292" i="1"/>
  <c r="C292" i="1"/>
  <c r="R292" i="1" s="1"/>
  <c r="H292" i="1"/>
  <c r="I292" i="1"/>
  <c r="J292" i="1"/>
  <c r="K292" i="1"/>
  <c r="L292" i="1"/>
  <c r="M292" i="1"/>
  <c r="N292" i="1"/>
  <c r="O292" i="1"/>
  <c r="S292" i="1"/>
  <c r="T292" i="1"/>
  <c r="U292" i="1"/>
  <c r="W292" i="1"/>
  <c r="B293" i="1"/>
  <c r="C293" i="1"/>
  <c r="R293" i="1" s="1"/>
  <c r="H293" i="1"/>
  <c r="I293" i="1"/>
  <c r="J293" i="1"/>
  <c r="K293" i="1"/>
  <c r="L293" i="1"/>
  <c r="M293" i="1"/>
  <c r="N293" i="1"/>
  <c r="O293" i="1"/>
  <c r="P293" i="1"/>
  <c r="S293" i="1"/>
  <c r="T293" i="1"/>
  <c r="U293" i="1"/>
  <c r="W293" i="1"/>
  <c r="X293" i="1"/>
  <c r="B294" i="1"/>
  <c r="C294" i="1"/>
  <c r="R294" i="1" s="1"/>
  <c r="H294" i="1"/>
  <c r="I294" i="1"/>
  <c r="J294" i="1"/>
  <c r="K294" i="1"/>
  <c r="L294" i="1"/>
  <c r="M294" i="1"/>
  <c r="N294" i="1"/>
  <c r="O294" i="1"/>
  <c r="P294" i="1"/>
  <c r="Q294" i="1"/>
  <c r="S294" i="1"/>
  <c r="T294" i="1"/>
  <c r="U294" i="1"/>
  <c r="W294" i="1"/>
  <c r="X294" i="1"/>
  <c r="B295" i="1"/>
  <c r="C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B296" i="1"/>
  <c r="C296" i="1"/>
  <c r="Q296" i="1" s="1"/>
  <c r="H296" i="1"/>
  <c r="I296" i="1"/>
  <c r="J296" i="1"/>
  <c r="K296" i="1"/>
  <c r="L296" i="1"/>
  <c r="M296" i="1"/>
  <c r="N296" i="1"/>
  <c r="O296" i="1"/>
  <c r="S296" i="1"/>
  <c r="T296" i="1"/>
  <c r="U296" i="1"/>
  <c r="W296" i="1"/>
  <c r="B297" i="1"/>
  <c r="C297" i="1"/>
  <c r="Q297" i="1" s="1"/>
  <c r="H297" i="1"/>
  <c r="I297" i="1"/>
  <c r="J297" i="1"/>
  <c r="K297" i="1"/>
  <c r="L297" i="1"/>
  <c r="M297" i="1"/>
  <c r="N297" i="1"/>
  <c r="O297" i="1"/>
  <c r="P297" i="1"/>
  <c r="S297" i="1"/>
  <c r="T297" i="1"/>
  <c r="U297" i="1"/>
  <c r="W297" i="1"/>
  <c r="X297" i="1"/>
  <c r="B298" i="1"/>
  <c r="C298" i="1"/>
  <c r="R298" i="1" s="1"/>
  <c r="H298" i="1"/>
  <c r="I298" i="1"/>
  <c r="J298" i="1"/>
  <c r="K298" i="1"/>
  <c r="L298" i="1"/>
  <c r="M298" i="1"/>
  <c r="N298" i="1"/>
  <c r="O298" i="1"/>
  <c r="P298" i="1"/>
  <c r="Q298" i="1"/>
  <c r="S298" i="1"/>
  <c r="T298" i="1"/>
  <c r="U298" i="1"/>
  <c r="W298" i="1"/>
  <c r="X298" i="1"/>
  <c r="B299" i="1"/>
  <c r="C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B300" i="1"/>
  <c r="C300" i="1"/>
  <c r="Q300" i="1" s="1"/>
  <c r="H300" i="1"/>
  <c r="I300" i="1"/>
  <c r="J300" i="1"/>
  <c r="K300" i="1"/>
  <c r="L300" i="1"/>
  <c r="M300" i="1"/>
  <c r="N300" i="1"/>
  <c r="O300" i="1"/>
  <c r="S300" i="1"/>
  <c r="T300" i="1"/>
  <c r="U300" i="1"/>
  <c r="W300" i="1"/>
  <c r="B301" i="1"/>
  <c r="C301" i="1"/>
  <c r="R301" i="1" s="1"/>
  <c r="H301" i="1"/>
  <c r="I301" i="1"/>
  <c r="J301" i="1"/>
  <c r="K301" i="1"/>
  <c r="L301" i="1"/>
  <c r="M301" i="1"/>
  <c r="N301" i="1"/>
  <c r="O301" i="1"/>
  <c r="P301" i="1"/>
  <c r="S301" i="1"/>
  <c r="T301" i="1"/>
  <c r="U301" i="1"/>
  <c r="W301" i="1"/>
  <c r="X301" i="1"/>
  <c r="B302" i="1"/>
  <c r="C302" i="1"/>
  <c r="R302" i="1" s="1"/>
  <c r="H302" i="1"/>
  <c r="I302" i="1"/>
  <c r="J302" i="1"/>
  <c r="K302" i="1"/>
  <c r="L302" i="1"/>
  <c r="M302" i="1"/>
  <c r="N302" i="1"/>
  <c r="O302" i="1"/>
  <c r="P302" i="1"/>
  <c r="Q302" i="1"/>
  <c r="S302" i="1"/>
  <c r="T302" i="1"/>
  <c r="U302" i="1"/>
  <c r="W302" i="1"/>
  <c r="X302" i="1"/>
  <c r="B303" i="1"/>
  <c r="C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B304" i="1"/>
  <c r="C304" i="1"/>
  <c r="V304" i="1" s="1"/>
  <c r="H304" i="1"/>
  <c r="I304" i="1"/>
  <c r="J304" i="1"/>
  <c r="K304" i="1"/>
  <c r="L304" i="1"/>
  <c r="M304" i="1"/>
  <c r="N304" i="1"/>
  <c r="O304" i="1"/>
  <c r="S304" i="1"/>
  <c r="T304" i="1"/>
  <c r="U304" i="1"/>
  <c r="W304" i="1"/>
  <c r="B305" i="1"/>
  <c r="C305" i="1"/>
  <c r="R305" i="1" s="1"/>
  <c r="H305" i="1"/>
  <c r="I305" i="1"/>
  <c r="J305" i="1"/>
  <c r="K305" i="1"/>
  <c r="L305" i="1"/>
  <c r="M305" i="1"/>
  <c r="N305" i="1"/>
  <c r="O305" i="1"/>
  <c r="P305" i="1"/>
  <c r="S305" i="1"/>
  <c r="T305" i="1"/>
  <c r="U305" i="1"/>
  <c r="W305" i="1"/>
  <c r="X305" i="1"/>
  <c r="B306" i="1"/>
  <c r="C306" i="1"/>
  <c r="R306" i="1" s="1"/>
  <c r="H306" i="1"/>
  <c r="I306" i="1"/>
  <c r="J306" i="1"/>
  <c r="K306" i="1"/>
  <c r="L306" i="1"/>
  <c r="M306" i="1"/>
  <c r="N306" i="1"/>
  <c r="O306" i="1"/>
  <c r="P306" i="1"/>
  <c r="Q306" i="1"/>
  <c r="S306" i="1"/>
  <c r="T306" i="1"/>
  <c r="U306" i="1"/>
  <c r="W306" i="1"/>
  <c r="X306" i="1"/>
  <c r="B307" i="1"/>
  <c r="C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B308" i="1"/>
  <c r="C308" i="1"/>
  <c r="P308" i="1" s="1"/>
  <c r="H308" i="1"/>
  <c r="I308" i="1"/>
  <c r="J308" i="1"/>
  <c r="K308" i="1"/>
  <c r="L308" i="1"/>
  <c r="M308" i="1"/>
  <c r="N308" i="1"/>
  <c r="O308" i="1"/>
  <c r="S308" i="1"/>
  <c r="T308" i="1"/>
  <c r="U308" i="1"/>
  <c r="W308" i="1"/>
  <c r="B309" i="1"/>
  <c r="C309" i="1"/>
  <c r="Q309" i="1" s="1"/>
  <c r="H309" i="1"/>
  <c r="I309" i="1"/>
  <c r="J309" i="1"/>
  <c r="K309" i="1"/>
  <c r="L309" i="1"/>
  <c r="M309" i="1"/>
  <c r="N309" i="1"/>
  <c r="O309" i="1"/>
  <c r="P309" i="1"/>
  <c r="S309" i="1"/>
  <c r="T309" i="1"/>
  <c r="U309" i="1"/>
  <c r="W309" i="1"/>
  <c r="X309" i="1"/>
  <c r="B310" i="1"/>
  <c r="C310" i="1"/>
  <c r="R310" i="1" s="1"/>
  <c r="H310" i="1"/>
  <c r="I310" i="1"/>
  <c r="J310" i="1"/>
  <c r="K310" i="1"/>
  <c r="L310" i="1"/>
  <c r="M310" i="1"/>
  <c r="N310" i="1"/>
  <c r="O310" i="1"/>
  <c r="P310" i="1"/>
  <c r="Q310" i="1"/>
  <c r="S310" i="1"/>
  <c r="T310" i="1"/>
  <c r="U310" i="1"/>
  <c r="W310" i="1"/>
  <c r="X310" i="1"/>
  <c r="B311" i="1"/>
  <c r="C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B312" i="1"/>
  <c r="C312" i="1"/>
  <c r="R312" i="1" s="1"/>
  <c r="H312" i="1"/>
  <c r="I312" i="1"/>
  <c r="J312" i="1"/>
  <c r="K312" i="1"/>
  <c r="L312" i="1"/>
  <c r="M312" i="1"/>
  <c r="N312" i="1"/>
  <c r="O312" i="1"/>
  <c r="S312" i="1"/>
  <c r="T312" i="1"/>
  <c r="U312" i="1"/>
  <c r="W312" i="1"/>
  <c r="B313" i="1"/>
  <c r="C313" i="1"/>
  <c r="V313" i="1" s="1"/>
  <c r="H313" i="1"/>
  <c r="I313" i="1"/>
  <c r="J313" i="1"/>
  <c r="K313" i="1"/>
  <c r="L313" i="1"/>
  <c r="M313" i="1"/>
  <c r="N313" i="1"/>
  <c r="O313" i="1"/>
  <c r="P313" i="1"/>
  <c r="S313" i="1"/>
  <c r="T313" i="1"/>
  <c r="U313" i="1"/>
  <c r="W313" i="1"/>
  <c r="X313" i="1"/>
  <c r="B314" i="1"/>
  <c r="C314" i="1"/>
  <c r="R314" i="1" s="1"/>
  <c r="H314" i="1"/>
  <c r="I314" i="1"/>
  <c r="J314" i="1"/>
  <c r="K314" i="1"/>
  <c r="L314" i="1"/>
  <c r="M314" i="1"/>
  <c r="N314" i="1"/>
  <c r="O314" i="1"/>
  <c r="P314" i="1"/>
  <c r="Q314" i="1"/>
  <c r="S314" i="1"/>
  <c r="T314" i="1"/>
  <c r="U314" i="1"/>
  <c r="W314" i="1"/>
  <c r="X314" i="1"/>
  <c r="X4" i="1" l="1"/>
  <c r="I6" i="1"/>
  <c r="P20" i="1"/>
  <c r="L20" i="1"/>
  <c r="Q17" i="1"/>
  <c r="M17" i="1"/>
  <c r="I17" i="1" s="1"/>
  <c r="X16" i="1"/>
  <c r="S15" i="1"/>
  <c r="L15" i="1"/>
  <c r="V14" i="1"/>
  <c r="R14" i="1"/>
  <c r="L14" i="1"/>
  <c r="W13" i="1"/>
  <c r="S13" i="1"/>
  <c r="P12" i="1"/>
  <c r="L12" i="1"/>
  <c r="Q9" i="1"/>
  <c r="M9" i="1"/>
  <c r="I9" i="1" s="1"/>
  <c r="X8" i="1"/>
  <c r="M7" i="1"/>
  <c r="I7" i="1" s="1"/>
  <c r="W6" i="1"/>
  <c r="S6" i="1"/>
  <c r="M6" i="1"/>
  <c r="X5" i="1"/>
  <c r="L5" i="1"/>
  <c r="W4" i="1"/>
  <c r="Q4" i="1"/>
  <c r="M4" i="1"/>
  <c r="I4" i="1" s="1"/>
  <c r="X3" i="1"/>
  <c r="S3" i="1"/>
  <c r="M3" i="1"/>
  <c r="I3" i="1" s="1"/>
  <c r="K20" i="1"/>
  <c r="I20" i="1" s="1"/>
  <c r="X17" i="1"/>
  <c r="P17" i="1"/>
  <c r="Q16" i="1"/>
  <c r="W15" i="1"/>
  <c r="K15" i="1"/>
  <c r="I15" i="1" s="1"/>
  <c r="K14" i="1"/>
  <c r="I14" i="1" s="1"/>
  <c r="K12" i="1"/>
  <c r="I12" i="1" s="1"/>
  <c r="X9" i="1"/>
  <c r="P9" i="1"/>
  <c r="Q8" i="1"/>
  <c r="X7" i="1"/>
  <c r="S7" i="1"/>
  <c r="V6" i="1"/>
  <c r="R6" i="1"/>
  <c r="W5" i="1"/>
  <c r="S5" i="1"/>
  <c r="K5" i="1"/>
  <c r="I5" i="1" s="1"/>
  <c r="P4" i="1"/>
  <c r="W3" i="1"/>
  <c r="P3" i="1"/>
  <c r="W20" i="1"/>
  <c r="Q20" i="1"/>
  <c r="V17" i="1"/>
  <c r="W14" i="1"/>
  <c r="S14" i="1"/>
  <c r="W12" i="1"/>
  <c r="Q12" i="1"/>
  <c r="V9" i="1"/>
  <c r="Q5" i="1"/>
  <c r="V308" i="1"/>
  <c r="R308" i="1"/>
  <c r="R304" i="1"/>
  <c r="R313" i="1"/>
  <c r="Q312" i="1"/>
  <c r="V309" i="1"/>
  <c r="R309" i="1"/>
  <c r="Q308" i="1"/>
  <c r="V305" i="1"/>
  <c r="Q304" i="1"/>
  <c r="V297" i="1"/>
  <c r="R297" i="1"/>
  <c r="Q292" i="1"/>
  <c r="P287" i="1"/>
  <c r="X287" i="1"/>
  <c r="V279" i="1"/>
  <c r="R279" i="1"/>
  <c r="V314" i="1"/>
  <c r="Q313" i="1"/>
  <c r="X312" i="1"/>
  <c r="P312" i="1"/>
  <c r="V310" i="1"/>
  <c r="X308" i="1"/>
  <c r="V306" i="1"/>
  <c r="Q305" i="1"/>
  <c r="X304" i="1"/>
  <c r="P304" i="1"/>
  <c r="V302" i="1"/>
  <c r="Q301" i="1"/>
  <c r="X300" i="1"/>
  <c r="P300" i="1"/>
  <c r="V298" i="1"/>
  <c r="X296" i="1"/>
  <c r="P296" i="1"/>
  <c r="V294" i="1"/>
  <c r="Q293" i="1"/>
  <c r="X292" i="1"/>
  <c r="P292" i="1"/>
  <c r="V290" i="1"/>
  <c r="R289" i="1"/>
  <c r="V289" i="1"/>
  <c r="V288" i="1"/>
  <c r="R288" i="1"/>
  <c r="P284" i="1"/>
  <c r="V283" i="1"/>
  <c r="P275" i="1"/>
  <c r="X275" i="1"/>
  <c r="R273" i="1"/>
  <c r="V273" i="1"/>
  <c r="V272" i="1"/>
  <c r="R272" i="1"/>
  <c r="X269" i="1"/>
  <c r="P268" i="1"/>
  <c r="V267" i="1"/>
  <c r="P259" i="1"/>
  <c r="X259" i="1"/>
  <c r="R257" i="1"/>
  <c r="V257" i="1"/>
  <c r="V256" i="1"/>
  <c r="R256" i="1"/>
  <c r="X253" i="1"/>
  <c r="P252" i="1"/>
  <c r="V251" i="1"/>
  <c r="P243" i="1"/>
  <c r="X243" i="1"/>
  <c r="R241" i="1"/>
  <c r="V241" i="1"/>
  <c r="V240" i="1"/>
  <c r="R240" i="1"/>
  <c r="X237" i="1"/>
  <c r="R235" i="1"/>
  <c r="V235" i="1"/>
  <c r="P235" i="1"/>
  <c r="X235" i="1"/>
  <c r="P225" i="1"/>
  <c r="X225" i="1"/>
  <c r="R225" i="1"/>
  <c r="V225" i="1"/>
  <c r="P279" i="1"/>
  <c r="X279" i="1"/>
  <c r="R277" i="1"/>
  <c r="V277" i="1"/>
  <c r="P263" i="1"/>
  <c r="X263" i="1"/>
  <c r="R261" i="1"/>
  <c r="V261" i="1"/>
  <c r="P247" i="1"/>
  <c r="X247" i="1"/>
  <c r="R245" i="1"/>
  <c r="V245" i="1"/>
  <c r="P229" i="1"/>
  <c r="X229" i="1"/>
  <c r="R229" i="1"/>
  <c r="V229" i="1"/>
  <c r="R223" i="1"/>
  <c r="V223" i="1"/>
  <c r="P223" i="1"/>
  <c r="X223" i="1"/>
  <c r="Q215" i="1"/>
  <c r="R215" i="1"/>
  <c r="V215" i="1"/>
  <c r="P215" i="1"/>
  <c r="X215" i="1"/>
  <c r="V300" i="1"/>
  <c r="R300" i="1"/>
  <c r="V296" i="1"/>
  <c r="R296" i="1"/>
  <c r="V292" i="1"/>
  <c r="P283" i="1"/>
  <c r="X283" i="1"/>
  <c r="R281" i="1"/>
  <c r="V281" i="1"/>
  <c r="X277" i="1"/>
  <c r="P267" i="1"/>
  <c r="X267" i="1"/>
  <c r="R265" i="1"/>
  <c r="V265" i="1"/>
  <c r="X261" i="1"/>
  <c r="P260" i="1"/>
  <c r="P251" i="1"/>
  <c r="X251" i="1"/>
  <c r="R249" i="1"/>
  <c r="V249" i="1"/>
  <c r="X245" i="1"/>
  <c r="P244" i="1"/>
  <c r="P233" i="1"/>
  <c r="X233" i="1"/>
  <c r="R233" i="1"/>
  <c r="V233" i="1"/>
  <c r="R227" i="1"/>
  <c r="V227" i="1"/>
  <c r="P227" i="1"/>
  <c r="X227" i="1"/>
  <c r="V312" i="1"/>
  <c r="V301" i="1"/>
  <c r="V293" i="1"/>
  <c r="R285" i="1"/>
  <c r="V285" i="1"/>
  <c r="V284" i="1"/>
  <c r="R284" i="1"/>
  <c r="X281" i="1"/>
  <c r="Q277" i="1"/>
  <c r="P271" i="1"/>
  <c r="X271" i="1"/>
  <c r="R269" i="1"/>
  <c r="V269" i="1"/>
  <c r="V268" i="1"/>
  <c r="R268" i="1"/>
  <c r="V263" i="1"/>
  <c r="R263" i="1"/>
  <c r="Q261" i="1"/>
  <c r="P255" i="1"/>
  <c r="X255" i="1"/>
  <c r="R253" i="1"/>
  <c r="V253" i="1"/>
  <c r="V252" i="1"/>
  <c r="R252" i="1"/>
  <c r="V247" i="1"/>
  <c r="R247" i="1"/>
  <c r="Q245" i="1"/>
  <c r="P239" i="1"/>
  <c r="X239" i="1"/>
  <c r="R237" i="1"/>
  <c r="V237" i="1"/>
  <c r="R231" i="1"/>
  <c r="V231" i="1"/>
  <c r="P231" i="1"/>
  <c r="X231" i="1"/>
  <c r="Q219" i="1"/>
  <c r="R219" i="1"/>
  <c r="V219" i="1"/>
  <c r="P219" i="1"/>
  <c r="X219" i="1"/>
  <c r="V221" i="1"/>
  <c r="R221" i="1"/>
  <c r="V217" i="1"/>
  <c r="R217" i="1"/>
  <c r="V213" i="1"/>
  <c r="R213" i="1"/>
  <c r="X211" i="1"/>
  <c r="P211" i="1"/>
  <c r="V209" i="1"/>
  <c r="R209" i="1"/>
  <c r="X207" i="1"/>
  <c r="P207" i="1"/>
  <c r="V205" i="1"/>
  <c r="R205" i="1"/>
  <c r="X203" i="1"/>
  <c r="P203" i="1"/>
  <c r="V201" i="1"/>
  <c r="R201" i="1"/>
  <c r="X199" i="1"/>
  <c r="P199" i="1"/>
  <c r="V197" i="1"/>
  <c r="R197" i="1"/>
  <c r="X195" i="1"/>
  <c r="P195" i="1"/>
  <c r="V193" i="1"/>
  <c r="R193" i="1"/>
  <c r="X191" i="1"/>
  <c r="P191" i="1"/>
  <c r="V189" i="1"/>
  <c r="R189" i="1"/>
  <c r="X187" i="1"/>
  <c r="P187" i="1"/>
  <c r="V185" i="1"/>
  <c r="R185" i="1"/>
  <c r="X183" i="1"/>
  <c r="P183" i="1"/>
  <c r="V181" i="1"/>
  <c r="R181" i="1"/>
  <c r="X179" i="1"/>
  <c r="P179" i="1"/>
  <c r="V177" i="1"/>
  <c r="R177" i="1"/>
  <c r="X175" i="1"/>
  <c r="P175" i="1"/>
  <c r="V173" i="1"/>
  <c r="R173" i="1"/>
  <c r="X171" i="1"/>
  <c r="P171" i="1"/>
  <c r="V169" i="1"/>
  <c r="R169" i="1"/>
  <c r="X167" i="1"/>
  <c r="P167" i="1"/>
  <c r="P165" i="1"/>
  <c r="X165" i="1"/>
  <c r="R163" i="1"/>
  <c r="V163" i="1"/>
  <c r="V162" i="1"/>
  <c r="R162" i="1"/>
  <c r="X159" i="1"/>
  <c r="P158" i="1"/>
  <c r="V157" i="1"/>
  <c r="P149" i="1"/>
  <c r="X149" i="1"/>
  <c r="R147" i="1"/>
  <c r="V147" i="1"/>
  <c r="V146" i="1"/>
  <c r="R146" i="1"/>
  <c r="P143" i="1"/>
  <c r="X143" i="1"/>
  <c r="R143" i="1"/>
  <c r="V143" i="1"/>
  <c r="R137" i="1"/>
  <c r="V137" i="1"/>
  <c r="P137" i="1"/>
  <c r="X137" i="1"/>
  <c r="R161" i="1"/>
  <c r="P153" i="1"/>
  <c r="X153" i="1"/>
  <c r="R151" i="1"/>
  <c r="V151" i="1"/>
  <c r="R141" i="1"/>
  <c r="V141" i="1"/>
  <c r="P141" i="1"/>
  <c r="X141" i="1"/>
  <c r="P131" i="1"/>
  <c r="X131" i="1"/>
  <c r="R131" i="1"/>
  <c r="V131" i="1"/>
  <c r="P123" i="1"/>
  <c r="X123" i="1"/>
  <c r="Q123" i="1"/>
  <c r="R123" i="1"/>
  <c r="V123" i="1"/>
  <c r="X221" i="1"/>
  <c r="X217" i="1"/>
  <c r="X213" i="1"/>
  <c r="V211" i="1"/>
  <c r="R211" i="1"/>
  <c r="X209" i="1"/>
  <c r="V207" i="1"/>
  <c r="R207" i="1"/>
  <c r="X205" i="1"/>
  <c r="V203" i="1"/>
  <c r="R203" i="1"/>
  <c r="X201" i="1"/>
  <c r="V199" i="1"/>
  <c r="R199" i="1"/>
  <c r="X197" i="1"/>
  <c r="V195" i="1"/>
  <c r="R195" i="1"/>
  <c r="X193" i="1"/>
  <c r="V191" i="1"/>
  <c r="R191" i="1"/>
  <c r="X189" i="1"/>
  <c r="V187" i="1"/>
  <c r="R187" i="1"/>
  <c r="X185" i="1"/>
  <c r="V183" i="1"/>
  <c r="R183" i="1"/>
  <c r="X181" i="1"/>
  <c r="V179" i="1"/>
  <c r="R179" i="1"/>
  <c r="X177" i="1"/>
  <c r="V175" i="1"/>
  <c r="R175" i="1"/>
  <c r="X173" i="1"/>
  <c r="V171" i="1"/>
  <c r="R171" i="1"/>
  <c r="X169" i="1"/>
  <c r="V167" i="1"/>
  <c r="R167" i="1"/>
  <c r="P166" i="1"/>
  <c r="P157" i="1"/>
  <c r="X157" i="1"/>
  <c r="R155" i="1"/>
  <c r="V155" i="1"/>
  <c r="X151" i="1"/>
  <c r="P150" i="1"/>
  <c r="R145" i="1"/>
  <c r="P145" i="1"/>
  <c r="X145" i="1"/>
  <c r="P135" i="1"/>
  <c r="X135" i="1"/>
  <c r="R135" i="1"/>
  <c r="V135" i="1"/>
  <c r="P161" i="1"/>
  <c r="X161" i="1"/>
  <c r="R159" i="1"/>
  <c r="V159" i="1"/>
  <c r="V153" i="1"/>
  <c r="R153" i="1"/>
  <c r="Q151" i="1"/>
  <c r="P139" i="1"/>
  <c r="X139" i="1"/>
  <c r="R139" i="1"/>
  <c r="V139" i="1"/>
  <c r="R133" i="1"/>
  <c r="V133" i="1"/>
  <c r="P133" i="1"/>
  <c r="X133" i="1"/>
  <c r="P127" i="1"/>
  <c r="X127" i="1"/>
  <c r="Q127" i="1"/>
  <c r="R127" i="1"/>
  <c r="V127" i="1"/>
  <c r="X129" i="1"/>
  <c r="P129" i="1"/>
  <c r="X125" i="1"/>
  <c r="P125" i="1"/>
  <c r="X121" i="1"/>
  <c r="P121" i="1"/>
  <c r="V119" i="1"/>
  <c r="R119" i="1"/>
  <c r="X117" i="1"/>
  <c r="P117" i="1"/>
  <c r="V115" i="1"/>
  <c r="R115" i="1"/>
  <c r="X113" i="1"/>
  <c r="P113" i="1"/>
  <c r="V111" i="1"/>
  <c r="R111" i="1"/>
  <c r="X109" i="1"/>
  <c r="P109" i="1"/>
  <c r="V107" i="1"/>
  <c r="R107" i="1"/>
  <c r="X105" i="1"/>
  <c r="P105" i="1"/>
  <c r="V103" i="1"/>
  <c r="R103" i="1"/>
  <c r="X101" i="1"/>
  <c r="P101" i="1"/>
  <c r="V99" i="1"/>
  <c r="R99" i="1"/>
  <c r="X97" i="1"/>
  <c r="P97" i="1"/>
  <c r="V95" i="1"/>
  <c r="R95" i="1"/>
  <c r="X93" i="1"/>
  <c r="P93" i="1"/>
  <c r="V91" i="1"/>
  <c r="R91" i="1"/>
  <c r="X89" i="1"/>
  <c r="P89" i="1"/>
  <c r="V87" i="1"/>
  <c r="R87" i="1"/>
  <c r="X85" i="1"/>
  <c r="P85" i="1"/>
  <c r="V83" i="1"/>
  <c r="R83" i="1"/>
  <c r="X81" i="1"/>
  <c r="P81" i="1"/>
  <c r="V79" i="1"/>
  <c r="R79" i="1"/>
  <c r="X77" i="1"/>
  <c r="P77" i="1"/>
  <c r="V75" i="1"/>
  <c r="R75" i="1"/>
  <c r="X73" i="1"/>
  <c r="P73" i="1"/>
  <c r="V71" i="1"/>
  <c r="R71" i="1"/>
  <c r="P70" i="1"/>
  <c r="X70" i="1"/>
  <c r="R68" i="1"/>
  <c r="V68" i="1"/>
  <c r="V67" i="1"/>
  <c r="R67" i="1"/>
  <c r="X64" i="1"/>
  <c r="P63" i="1"/>
  <c r="V62" i="1"/>
  <c r="Q119" i="1"/>
  <c r="Q115" i="1"/>
  <c r="Q111" i="1"/>
  <c r="Q107" i="1"/>
  <c r="Q103" i="1"/>
  <c r="Q99" i="1"/>
  <c r="Q95" i="1"/>
  <c r="Q91" i="1"/>
  <c r="Q87" i="1"/>
  <c r="Q83" i="1"/>
  <c r="Q79" i="1"/>
  <c r="Q75" i="1"/>
  <c r="Q71" i="1"/>
  <c r="V66" i="1"/>
  <c r="R66" i="1"/>
  <c r="Q64" i="1"/>
  <c r="P58" i="1"/>
  <c r="X58" i="1"/>
  <c r="R56" i="1"/>
  <c r="V56" i="1"/>
  <c r="V55" i="1"/>
  <c r="R55" i="1"/>
  <c r="X51" i="1"/>
  <c r="R47" i="1"/>
  <c r="V47" i="1"/>
  <c r="P47" i="1"/>
  <c r="X47" i="1"/>
  <c r="Q47" i="1"/>
  <c r="V129" i="1"/>
  <c r="V125" i="1"/>
  <c r="V121" i="1"/>
  <c r="X119" i="1"/>
  <c r="V117" i="1"/>
  <c r="X115" i="1"/>
  <c r="V113" i="1"/>
  <c r="X111" i="1"/>
  <c r="V109" i="1"/>
  <c r="X107" i="1"/>
  <c r="V105" i="1"/>
  <c r="X103" i="1"/>
  <c r="V101" i="1"/>
  <c r="X99" i="1"/>
  <c r="V97" i="1"/>
  <c r="X95" i="1"/>
  <c r="V93" i="1"/>
  <c r="X91" i="1"/>
  <c r="V89" i="1"/>
  <c r="X87" i="1"/>
  <c r="V85" i="1"/>
  <c r="X83" i="1"/>
  <c r="V81" i="1"/>
  <c r="X79" i="1"/>
  <c r="V77" i="1"/>
  <c r="X75" i="1"/>
  <c r="V73" i="1"/>
  <c r="X71" i="1"/>
  <c r="P62" i="1"/>
  <c r="X62" i="1"/>
  <c r="R60" i="1"/>
  <c r="V60" i="1"/>
  <c r="X56" i="1"/>
  <c r="P55" i="1"/>
  <c r="V54" i="1"/>
  <c r="V50" i="1"/>
  <c r="P66" i="1"/>
  <c r="X66" i="1"/>
  <c r="R64" i="1"/>
  <c r="V64" i="1"/>
  <c r="Q54" i="1"/>
  <c r="P54" i="1"/>
  <c r="X54" i="1"/>
  <c r="R51" i="1"/>
  <c r="V51" i="1"/>
  <c r="Q51" i="1"/>
  <c r="Q50" i="1"/>
  <c r="P50" i="1"/>
  <c r="X50" i="1"/>
  <c r="V52" i="1"/>
  <c r="V48" i="1"/>
  <c r="X46" i="1"/>
  <c r="P46" i="1"/>
  <c r="V44" i="1"/>
  <c r="Q43" i="1"/>
  <c r="X42" i="1"/>
  <c r="P42" i="1"/>
  <c r="V40" i="1"/>
  <c r="Q39" i="1"/>
  <c r="X38" i="1"/>
  <c r="P38" i="1"/>
  <c r="V36" i="1"/>
  <c r="Q35" i="1"/>
  <c r="X34" i="1"/>
  <c r="P34" i="1"/>
  <c r="V32" i="1"/>
  <c r="Q31" i="1"/>
  <c r="X30" i="1"/>
  <c r="P30" i="1"/>
  <c r="V28" i="1"/>
  <c r="Q27" i="1"/>
  <c r="X26" i="1"/>
  <c r="P26" i="1"/>
  <c r="V24" i="1"/>
  <c r="Q23" i="1"/>
  <c r="X22" i="1"/>
  <c r="P22" i="1"/>
  <c r="V20" i="1"/>
  <c r="Q19" i="1"/>
  <c r="X18" i="1"/>
  <c r="P18" i="1"/>
  <c r="V16" i="1"/>
  <c r="Q15" i="1"/>
  <c r="X14" i="1"/>
  <c r="P14" i="1"/>
  <c r="V12" i="1"/>
  <c r="Q11" i="1"/>
  <c r="X10" i="1"/>
  <c r="P10" i="1"/>
  <c r="V8" i="1"/>
  <c r="Q7" i="1"/>
  <c r="X6" i="1"/>
  <c r="P6" i="1"/>
  <c r="V4" i="1"/>
  <c r="Q3" i="1"/>
  <c r="X43" i="1"/>
  <c r="P43" i="1"/>
  <c r="X39" i="1"/>
  <c r="P39" i="1"/>
  <c r="X35" i="1"/>
  <c r="P35" i="1"/>
  <c r="X31" i="1"/>
  <c r="P31" i="1"/>
  <c r="X27" i="1"/>
  <c r="P27" i="1"/>
  <c r="X23" i="1"/>
  <c r="P23" i="1"/>
  <c r="X19" i="1"/>
  <c r="P19" i="1"/>
  <c r="X15" i="1"/>
  <c r="P15" i="1"/>
  <c r="X11" i="1"/>
  <c r="P11" i="1"/>
  <c r="P7" i="1"/>
  <c r="V43" i="1"/>
  <c r="V39" i="1"/>
  <c r="V35" i="1"/>
  <c r="V31" i="1"/>
  <c r="V27" i="1"/>
  <c r="V23" i="1"/>
  <c r="V19" i="1"/>
  <c r="V15" i="1"/>
  <c r="V11" i="1"/>
  <c r="V7" i="1"/>
  <c r="V3" i="1"/>
  <c r="B2" i="1"/>
  <c r="J2" i="1" s="1"/>
  <c r="C2" i="1"/>
  <c r="H2" i="1"/>
  <c r="O2" i="1"/>
  <c r="T2" i="1"/>
  <c r="U2" i="1"/>
  <c r="L2" i="1" l="1"/>
  <c r="S2" i="1"/>
  <c r="N2" i="1"/>
  <c r="K2" i="1"/>
  <c r="W2" i="1"/>
  <c r="M2" i="1"/>
  <c r="I2" i="1" s="1"/>
  <c r="X2" i="1"/>
  <c r="R2" i="1"/>
  <c r="P2" i="1"/>
  <c r="Q2" i="1"/>
  <c r="V2" i="1"/>
</calcChain>
</file>

<file path=xl/sharedStrings.xml><?xml version="1.0" encoding="utf-8"?>
<sst xmlns="http://schemas.openxmlformats.org/spreadsheetml/2006/main" count="28" uniqueCount="28">
  <si>
    <t>Folder name</t>
  </si>
  <si>
    <t>Vector ID</t>
  </si>
  <si>
    <t>Job ID</t>
  </si>
  <si>
    <t>Sg SS OK</t>
  </si>
  <si>
    <t>Sg DS OK</t>
  </si>
  <si>
    <t>Sg Primer to repeat</t>
  </si>
  <si>
    <t>Sg Mutation or FAIL</t>
  </si>
  <si>
    <t>Requirement</t>
  </si>
  <si>
    <t>Vector</t>
  </si>
  <si>
    <t>Work No.</t>
  </si>
  <si>
    <t>BBI ID</t>
  </si>
  <si>
    <t>Gene Name</t>
  </si>
  <si>
    <t>Length (bp)</t>
  </si>
  <si>
    <t>Order Date</t>
  </si>
  <si>
    <t>Plasmid No.</t>
  </si>
  <si>
    <t>Cloning Site</t>
  </si>
  <si>
    <t>Resistance</t>
  </si>
  <si>
    <t>Growth Condition/Temperature</t>
  </si>
  <si>
    <t>Storage</t>
  </si>
  <si>
    <t>Delivery Date</t>
  </si>
  <si>
    <t>Host</t>
  </si>
  <si>
    <t>Plasmid Qty</t>
  </si>
  <si>
    <t>Competent Cells</t>
  </si>
  <si>
    <t>OD260</t>
  </si>
  <si>
    <t>OD280</t>
  </si>
  <si>
    <t>OD260/280</t>
  </si>
  <si>
    <t>ng/uL</t>
  </si>
  <si>
    <t>QC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</si>
</sst>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  <xf numFmtId="14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8.%20Gene%20Synthesis/3.0%20In-House%20Gene/3.5%20Job%20Log/3.5%20In-house%20Progress%20v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ted"/>
      <sheetName val="Stages"/>
      <sheetName val="Templates"/>
      <sheetName val="Cancelled&amp;Moved List"/>
      <sheetName val="Master Shipping Log"/>
      <sheetName val="INTERNAL QC"/>
      <sheetName val="IH Shipping Log "/>
      <sheetName val="Work ID CODE"/>
      <sheetName val="Empty Sheet"/>
    </sheetNames>
    <sheetDataSet>
      <sheetData sheetId="0">
        <row r="1">
          <cell r="A1" t="str">
            <v>Work No.</v>
          </cell>
          <cell r="B1" t="str">
            <v>BBI ID</v>
          </cell>
          <cell r="C1" t="str">
            <v>Order Date</v>
          </cell>
          <cell r="D1" t="str">
            <v>SO</v>
          </cell>
          <cell r="E1" t="str">
            <v>Gene Name</v>
          </cell>
          <cell r="F1" t="str">
            <v>Vector</v>
          </cell>
          <cell r="G1" t="str">
            <v>Cloning Site</v>
          </cell>
          <cell r="H1" t="str">
            <v>Resistance</v>
          </cell>
          <cell r="I1" t="str">
            <v>Length (bp)</v>
          </cell>
          <cell r="J1" t="str">
            <v>Plasmid Qty.</v>
          </cell>
          <cell r="K1" t="str">
            <v>Prep</v>
          </cell>
          <cell r="L1" t="str">
            <v>Synthesis Progress</v>
          </cell>
          <cell r="M1" t="str">
            <v>Job ID 2</v>
          </cell>
          <cell r="N1" t="str">
            <v>Internal PROGRESS NOTES</v>
          </cell>
          <cell r="O1" t="str">
            <v>NEED BY:</v>
          </cell>
          <cell r="P1" t="str">
            <v>QC Status</v>
          </cell>
          <cell r="Q1" t="str">
            <v>Insert Sequence</v>
          </cell>
          <cell r="R1" t="str">
            <v>SEQ CHECK</v>
          </cell>
          <cell r="S1" t="str">
            <v>Insert+Vector</v>
          </cell>
          <cell r="T1" t="str">
            <v>Plasmid No.</v>
          </cell>
          <cell r="U1" t="str">
            <v>Tube ID</v>
          </cell>
          <cell r="V1" t="str">
            <v>Position in Box</v>
          </cell>
          <cell r="W1" t="str">
            <v>Host</v>
          </cell>
          <cell r="X1" t="str">
            <v xml:space="preserve">Growth Condition/
Temperature
</v>
          </cell>
          <cell r="Y1" t="str">
            <v>Competent Cells</v>
          </cell>
        </row>
        <row r="2">
          <cell r="A2" t="str">
            <v>XV1610005</v>
          </cell>
          <cell r="B2" t="str">
            <v>OHRI016</v>
          </cell>
          <cell r="C2">
            <v>46235</v>
          </cell>
          <cell r="D2">
            <v>1009075711</v>
          </cell>
          <cell r="E2" t="str">
            <v>Lamin-C</v>
          </cell>
          <cell r="F2" t="str">
            <v>pIRES2-EGFP</v>
          </cell>
          <cell r="G2" t="str">
            <v>EcoRI/EcoRV</v>
          </cell>
          <cell r="H2" t="str">
            <v>Kanamycin</v>
          </cell>
          <cell r="I2">
            <v>1731</v>
          </cell>
          <cell r="J2" t="str">
            <v>2-4ug</v>
          </cell>
          <cell r="K2" t="str">
            <v>Lyophilized</v>
          </cell>
          <cell r="L2" t="str">
            <v xml:space="preserve">5. Correcting Errors: Fragments </v>
          </cell>
          <cell r="M2" t="str">
            <v>XV1610005</v>
          </cell>
          <cell r="N2" t="str">
            <v>Failed, trying in pUC57</v>
          </cell>
          <cell r="O2"/>
          <cell r="P2"/>
          <cell r="Q2" t="str">
            <v>GAATTCATGGAGACCCCGTCCCAGCGGCGCGCCACCCGCAGCGGGGCGCAGGCCAGCTCCACTCCGCTGTCGCCCACCCGCATCACCCGGCTGCAGGAGAAGGAGGACCTGCAGGAGCTCAATGATCGCTTGGCGGTCTACATCGACCGTGTGCGCTCGCTGGAAACGGAGAACGCAGGGCTGCGCCTTCGCATCACCGAG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ATGGGAAGCAGCGTGAGTTTGAGAGCCGGCTGGCGGATGCGCTGCAGGAACTGCGGGCCCAGCATGAGGACCAGGTGGAGCAGTATAAGAAGGAGCTGGAGAAGACTTATTCTGCCAAGCTGGACAATGCCAGGCAGTCTGCTGAGAGGAACAGCAACCTGGTGGGGGCTGCCCACGAGGAGCTGCAGCAGTCGCGCATCCGCATCGACAGCCTCTCTGCCCAGCTCAGCCAGCTCCAGAAGCAGCTGGCAGCCAAGGAGGCGAAGCTTCGAGACCTGGAGGACTCACTGGCCCGTGAGCGGGACACCAGCCGGCGGCTGCTGGCGGAAAAGGAGCGGGAGATGGCCGAGATGCGGGCAAGGATGCAGCAGCAGCTGGACGAGTACCAGGAGCTTCTGGACATCAAGCTGGCCCTGGACATGGAGATCCACGCCTACCGCAAGCTCTTGGAGGGCGAGGAGGAGAGGCTACGCCTGTCCCCCAGCCCTACCTCGCAGCGCAGCCGTGGCCGTGCTTCCTCTCACTCATCCCAGACACAGGGTGGGGGCAGCGTCACCAAAAAGCGCAAACTGGAGTCCACTGAGAGCCGCAGCAGCTTCTCACAGCACGCACGCACTAGCGGGCGCGTGGCCGTGGAGGAGGTGGATGAGGAGGGCAAGTTTGTCCGGCTGCGCAACAAGTCCAATGAGGACCAGTCCATGGGCAATTGGCAGATCAAGCGCCAGAATGGAGATGATCCCTTGCTGACTTACCGGTTCCCACCAAAGTTCACCCTGAAGGCTGGGCAGGTGGTGACGATCTGGGCTGCAGGAGCTGGGGCCACCCACAGCCCCCCTACCGACCTGGTGTGGAAGGCACAGAACACCTGGGGCTGCGGGAACAGCCTGCGTACGGCTCTCATCAACTCCACTGGGGAAGAAGTGGCCATGCGCAAGCTGGTGCGCTCAGTGACTGTGGTTGAGGACGACGAGGATGAGGATGGAGATGACCTGCTCCATCACCACCACGTGAGTGGTAGCCGCCGCTGAGATATC</v>
          </cell>
          <cell r="R2" t="str">
            <v xml:space="preserve">  </v>
          </cell>
          <cell r="T2"/>
          <cell r="U2"/>
          <cell r="V2"/>
          <cell r="Y2"/>
        </row>
        <row r="3">
          <cell r="A3" t="str">
            <v>XV1610005pUC</v>
          </cell>
          <cell r="B3" t="str">
            <v>OHRI016</v>
          </cell>
          <cell r="C3">
            <v>46235</v>
          </cell>
          <cell r="D3">
            <v>1009075711</v>
          </cell>
          <cell r="E3" t="str">
            <v>Lamin-C</v>
          </cell>
          <cell r="F3" t="str">
            <v>pUC57-Amp</v>
          </cell>
          <cell r="G3" t="str">
            <v>EcoRI/EcoRV</v>
          </cell>
          <cell r="H3" t="str">
            <v>Ampicillin</v>
          </cell>
          <cell r="I3">
            <v>1731</v>
          </cell>
          <cell r="J3" t="str">
            <v>2-4ug</v>
          </cell>
          <cell r="K3" t="str">
            <v>Lyophilized</v>
          </cell>
          <cell r="L3" t="str">
            <v>8. Sequencing Gene: First Round</v>
          </cell>
          <cell r="M3" t="str">
            <v>XV1610005</v>
          </cell>
          <cell r="N3"/>
          <cell r="O3"/>
          <cell r="P3"/>
          <cell r="Q3" t="str">
            <v>GAATTCATGGAGACCCCGTCCCAGCGGCGCGCCACCCGCAGCGGGGCGCAGGCCAGCTCCACTCCGCTGTCGCCCACCCGCATCACCCGGCTGCAGGAGAAGGAGGACCTGCAGGAGCTCAATGATCGCTTGGCGGTCTACATCGACCGTGTGCGCTCGCTGGAAACGGAGAACGCAGGGCTGCGCCTTCGCATCACCGAG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ATGGGAAGCAGCGTGAGTTTGAGAGCCGGCTGGCGGATGCGCTGCAGGAACTGCGGGCCCAGCATGAGGACCAGGTGGAGCAGTATAAGAAGGAGCTGGAGAAGACTTATTCTGCCAAGCTGGACAATGCCAGGCAGTCTGCTGAGAGGAACAGCAACCTGGTGGGGGCTGCCCACGAGGAGCTGCAGCAGTCGCGCATCCGCATCGACAGCCTCTCTGCCCAGCTCAGCCAGCTCCAGAAGCAGCTGGCAGCCAAGGAGGCGAAGCTTCGAGACCTGGAGGACTCACTGGCCCGTGAGCGGGACACCAGCCGGCGGCTGCTGGCGGAAAAGGAGCGGGAGATGGCCGAGATGCGGGCAAGGATGCAGCAGCAGCTGGACGAGTACCAGGAGCTTCTGGACATCAAGCTGGCCCTGGACATGGAGATCCACGCCTACCGCAAGCTCTTGGAGGGCGAGGAGGAGAGGCTACGCCTGTCCCCCAGCCCTACCTCGCAGCGCAGCCGTGGCCGTGCTTCCTCTCACTCATCCCAGACACAGGGTGGGGGCAGCGTCACCAAAAAGCGCAAACTGGAGTCCACTGAGAGCCGCAGCAGCTTCTCACAGCACGCACGCACTAGCGGGCGCGTGGCCGTGGAGGAGGTGGATGAGGAGGGCAAGTTTGTCCGGCTGCGCAACAAGTCCAATGAGGACCAGTCCATGGGCAATTGGCAGATCAAGCGCCAGAATGGAGATGATCCCTTGCTGACTTACCGGTTCCCACCAAAGTTCACCCTGAAGGCTGGGCAGGTGGTGACGATCTGGGCTGCAGGAGCTGGGGCCACCCACAGCCCCCCTACCGACCTGGTGTGGAAGGCACAGAACACCTGGGGCTGCGGGAACAGCCTGCGTACGGCTCTCATCAACTCCACTGGGGAAGAAGTGGCCATGCGCAAGCTGGTGCGCTCAGTGACTGTGGTTGAGGACGACGAGGATGAGGATGGAGATGACCTGCTCCATCACCACCACGTGAGTGGTAGCCGCCGCTGAGATATC</v>
          </cell>
          <cell r="R3" t="str">
            <v xml:space="preserve">  </v>
          </cell>
          <cell r="T3"/>
          <cell r="U3"/>
          <cell r="V3"/>
          <cell r="Y3"/>
        </row>
        <row r="4">
          <cell r="A4" t="str">
            <v>XV1610016</v>
          </cell>
          <cell r="B4" t="str">
            <v>QU127-01</v>
          </cell>
          <cell r="C4">
            <v>46357</v>
          </cell>
          <cell r="D4">
            <v>1009290053</v>
          </cell>
          <cell r="E4" t="str">
            <v>AtfPldII</v>
          </cell>
          <cell r="F4" t="str">
            <v>pET-28a(+)</v>
          </cell>
          <cell r="G4" t="str">
            <v>NdeI/XhoI</v>
          </cell>
          <cell r="H4" t="str">
            <v>Kanamycin</v>
          </cell>
          <cell r="I4">
            <v>1251</v>
          </cell>
          <cell r="J4" t="str">
            <v>2-4ug</v>
          </cell>
          <cell r="K4" t="str">
            <v>Lyophilized</v>
          </cell>
          <cell r="L4" t="str">
            <v xml:space="preserve">5. Correcting Errors: Fragments </v>
          </cell>
          <cell r="M4" t="str">
            <v>XV1610016</v>
          </cell>
          <cell r="N4" t="str">
            <v>Failed, delivering as fragment</v>
          </cell>
          <cell r="O4" t="str">
            <v xml:space="preserve"> </v>
          </cell>
          <cell r="P4"/>
          <cell r="Q4" t="str">
            <v>CATATGTCGCGCGCGGACTATACCCTGGGACACGGCAGCGATGATTATCGTGTCACACATTACGACCTGGAATTGGATTACAAAATTGGTCCGAATCGCTTAAGCGCGCGTGCCAGTCTTAGTGCGGTGGCGGCGGGTGAACTGTCACGTATCCCGCTTGACTTAGCCGGTTTCGCGGTTAAAGGTGTTCGTGTCGATGGCCGTACCGCGAAATTCACACATCGCGGTGGCAAATTGGTCGTGCGCCCTGTTCGCCCGGTGCGCGGCGAGTTTACTGTGGAAGTGCGCTATAGCGGTAATCCGCGTCCAGTGGCGTCACGCTGGGGCGAAATTGGTTGGGACGAACTTACCGACGGCGCGTTAGTGGCTAGCCAGCCGACCGGAGCGCCGTCGTGGTTTCCGTGCAACGACCGTCCTGGCGATAAAGCATCATATCGCGTTGCCCTGACTACCGCGAGCGCATATACGGTGCTGGTTACGGGCGATTTGGTTACACGTCGCGCAGGCGGATCTGCAACGACATGGGTTTTTGAGCGCCGCGAACCGACGGCGCCCTATTTAATGTCTGTGCAGATTGGCCGTTATGATGAACTTATTTTGGATGGTGCGCAGCGTATTGCTGTACCTCGCCGTCTGCGTGCAGCCGCGGCACACGATTTCGGCCGTCAGCCAGAAATGATGCGCCGCCTGACGGAATGGTTTGGTCCTTATCCGTTCGGTGAGTATGTCGTGGTGGTAACCGACGATGACCTGGACGATCCGATCGAAGCCCAAGGTATGGCGATTTTTGGTGCGAATCACGTCGATGGCCGCCGCACCTTCGAACGCTTAGTCGTTCACGAACTGGCTCACCAATGGTTTGGAAACTCGCTTACCGTTGCGGGGTGGCGCCATATTTGGCTGAACGAAGGTTTTGCAACCTATGCAGAATGGTTGTGGTCAGAAGCATCTGGTGGCCCATCTGCGGAAGCTTTAGCACGTGATTGGCGCTCACGTGTTGGAACCGACGTGGCTATTGGCGATCCTGGCGTTGCCCGTTTATTTGATGAGCAGGTGTACAAACGTGGCGGCTTAGTTCTGCACGAGTTGCGCGGGCGCGTCGGCGATGAAGTCTTCTTTGGTTTACTGCGCACTTGGGTGGCAGGGCATGCGCATGGGACGGTCACGACCGAAGACTTTATTGCCCATGCGGAACGTGCTGCGGGCGTCCCGCTGCGTGATGAATTCGCAAGCTGGTTAGGCTGACTCGAG</v>
          </cell>
          <cell r="R4" t="str">
            <v xml:space="preserve">  </v>
          </cell>
        </row>
        <row r="5">
          <cell r="A5" t="str">
            <v>XV1610016Fragment</v>
          </cell>
          <cell r="B5" t="str">
            <v>QU127-01</v>
          </cell>
          <cell r="C5">
            <v>46357</v>
          </cell>
          <cell r="D5">
            <v>1009290053</v>
          </cell>
          <cell r="E5" t="str">
            <v>AtfPldII</v>
          </cell>
          <cell r="F5" t="str">
            <v>DNA Fragment - No Vector</v>
          </cell>
          <cell r="I5">
            <v>1251</v>
          </cell>
          <cell r="J5" t="str">
            <v>200-400ng</v>
          </cell>
          <cell r="K5" t="str">
            <v>Lyophilized</v>
          </cell>
          <cell r="L5" t="str">
            <v xml:space="preserve">5. Correcting Errors: Fragments </v>
          </cell>
          <cell r="M5" t="str">
            <v>XV1610016Fragment</v>
          </cell>
          <cell r="N5" t="str">
            <v xml:space="preserve"> </v>
          </cell>
          <cell r="O5" t="str">
            <v xml:space="preserve"> </v>
          </cell>
          <cell r="P5"/>
          <cell r="Q5" t="str">
            <v>CATATGTCGCGCGCGGACTATACCCTGGGACACGGCAGCGATGATTATCGTGTCACACATTACGACCTGGAATTGGATTACAAAATTGGTCCGAATCGCTTAAGCGCGCGTGCCAGTCTTAGTGCGGTGGCGGCGGGTGAACTGTCACGTATCCCGCTTGACTTAGCCGGTTTCGCGGTTAAAGGTGTTCGTGTCGATGGCCGTACCGCGAAATTCACACATCGCGGTGGCAAATTGGTCGTGCGCCCTGTTCGCCCGGTGCGCGGCGAGTTTACTGTGGAAGTGCGCTATAGCGGTAATCCGCGTCCAGTGGCGTCACGCTGGGGCGAAATTGGTTGGGACGAACTTACCGACGGCGCGTTAGTGGCTAGCCAGCCGACCGGAGCGCCGTCGTGGTTTCCGTGCAACGACCGTCCTGGCGATAAAGCATCATATCGCGTTGCCCTGACTACCGCGAGCGCATATACGGTGCTGGTTACGGGCGATTTGGTTACACGTCGCGCAGGCGGATCTGCAACGACATGGGTTTTTGAGCGCCGCGAACCGACGGCGCCCTATTTAATGTCTGTGCAGATTGGCCGTTATGATGAACTTATTTTGGATGGTGCGCAGCGTATTGCTGTACCTCGCCGTCTGCGTGCAGCCGCGGCACACGATTTCGGCCGTCAGCCAGAAATGATGCGCCGCCTGACGGAATGGTTTGGTCCTTATCCGTTCGGTGAGTATGTCGTGGTGGTAACCGACGATGACCTGGACGATCCGATCGAAGCCCAAGGTATGGCGATTTTTGGTGCGAATCACGTCGATGGCCGCCGCACCTTCGAACGCTTAGTCGTTCACGAACTGGCTCACCAATGGTTTGGAAACTCGCTTACCGTTGCGGGGTGGCGCCATATTTGGCTGAACGAAGGTTTTGCAACCTATGCAGAATGGTTGTGGTCAGAAGCATCTGGTGGCCCATCTGCGGAAGCTTTAGCACGTGATTGGCGCTCACGTGTTGGAACCGACGTGGCTATTGGCGATCCTGGCGTTGCCCGTTTATTTGATGAGCAGGTGTACAAACGTGGCGGCTTAGTTCTGCACGAGTTGCGCGGGCGCGTCGGCGATGAAGTCTTCTTTGGTTTACTGCGCACTTGGGTGGCAGGGCATGCGCATGGGACGGTCACGACCGAAGACTTTATTGCCCATGCGGAACGTGCTGCGGGCGTCCCGCTGCGTGATGAATTCGCAAGCTGGTTAGGCTGACTCGAG</v>
          </cell>
          <cell r="R5" t="str">
            <v xml:space="preserve">  </v>
          </cell>
          <cell r="V5" t="str">
            <v>Box 1 - position 1</v>
          </cell>
        </row>
        <row r="6">
          <cell r="A6" t="str">
            <v>XV1610017</v>
          </cell>
          <cell r="B6" t="str">
            <v>QU127-02</v>
          </cell>
          <cell r="C6">
            <v>46357</v>
          </cell>
          <cell r="D6">
            <v>1009290053</v>
          </cell>
          <cell r="E6" t="str">
            <v>AtaPldII</v>
          </cell>
          <cell r="F6" t="str">
            <v>pET-28a(+)</v>
          </cell>
          <cell r="G6" t="str">
            <v>NdeI/XhoI</v>
          </cell>
          <cell r="H6" t="str">
            <v>Kanamycin</v>
          </cell>
          <cell r="I6">
            <v>1251</v>
          </cell>
          <cell r="J6" t="str">
            <v>2-4ug</v>
          </cell>
          <cell r="K6" t="str">
            <v>Lyophilized</v>
          </cell>
          <cell r="L6" t="str">
            <v>12. ALIQUOTED AND LYOPHILIZED</v>
          </cell>
          <cell r="M6" t="str">
            <v>XV1610017</v>
          </cell>
          <cell r="N6" t="str">
            <v>Needs IDT Screening, Screen Result: PASS</v>
          </cell>
          <cell r="O6" t="str">
            <v xml:space="preserve"> </v>
          </cell>
          <cell r="P6"/>
          <cell r="Q6" t="str">
            <v>CATATGTCTCGCGCAGACTATACCTTGGGCCATGGCAGCACGGGCTATCGCGTGACCCATTATGATCTGGAGTTGGACTACAAAATCGGACCGAATCGCTTAAGCGCGCGTGCGGTGTTATCTGCCGTAGCCGTCGACGAACTGAATCGCATCCCGCTGGATCTGGCGGGCTTCTCAGTGAAGGGCGTTCGTGTGGACGGTCGTACGGCACGCTTCACCCACCGCGGTGGTAAATTAGTTGTGGCTCCAGCCCGTCCGGTCCGTGGGGAGTTCACAGTTGAGGTACGTTATGCAGGCAACCCCCGTCCAGTAGCCTCACGCTGGGGAGAGATTGGTTGGGATGAACTGACCGATGGGGCTCTGGTAGCGTCACAGCCAACAGGTGCGCCTAGCTGGTTTCCGTGTAACGATCGCCCGGGCGATAAAGCAGCATACCGCGTGTCGTTAACTACGGCGAGTGCCTACACCGTGTTGGTTACGGGCGACCTGGTGGCTCGCCGTGCGGGCGGCAGCGCGACTACTTGGGTGTTCGAACGTCGTGAACCGACTGCCCCTTACTTGATGTCTGTGCAAATTGGCCGTTATGATGAACTGGAACTGGGAGCGGGTCAGCGCCTGGCTGTCCCGCGTCGCCTGCGTGCCGCGGCGGCTCATGATTTTGGTCGCCAGCCGGAAATGATGGCACGTCTGACGGAATGGTTTGGTCCATACCCCTTTGGTGAGTATGTGGTAGTAGTCACTGATGACGACCTTGATGATCCGATCGAGGCTCAAGGCATGGCCATTTTCGGGGCGAACCATGTGGACGGTCGCCGCACCTTTGAACGCCTGGTGGTGCACGAACTGGCACATCAGTGGTTTGGCAATAGTCTTACGGTTGCCGGGTGGCGCCATATCTGGCTGAATGAGGGCTTTGCGACCTACGCCGAATGGCTTTGGTCAGAAGCCTCGGGTGGCGCTAGCGCGGCCGCGTTGGCCCGTGACTGGCGTGCGCGTGTTGGTACCGACGTGGCGATTGGCGATCCAGGGGTAGCGCGCCTGTTTGATGAACAGGTGTACAAACGCGGAGCATTGGTTTTACATGGCCTTCGTGCTCGCGTGGGCGATGAAGTATTCTTTGGATTGCTGCGTAGCTGGGTTGCCGGCCATGCGCACGGTACGGTAACCACTGAAGAATTTGTCGCCCATGCTGAACGCGTTGCTGGGGTCAGCTTACGTGACGACTTCGCTGCGTGGCTGGGCTGACTCGAG</v>
          </cell>
          <cell r="R6" t="str">
            <v xml:space="preserve">  </v>
          </cell>
          <cell r="T6" t="str">
            <v>U0122P1A8x2</v>
          </cell>
          <cell r="U6" t="str">
            <v>U021002</v>
          </cell>
          <cell r="V6" t="str">
            <v>Box 1 - position 2</v>
          </cell>
          <cell r="W6" t="str">
            <v>TOP10</v>
          </cell>
          <cell r="X6" t="str">
            <v>37C</v>
          </cell>
          <cell r="Y6" t="str">
            <v>E. coli</v>
          </cell>
        </row>
        <row r="7">
          <cell r="A7" t="str">
            <v>XV1610018</v>
          </cell>
          <cell r="B7" t="str">
            <v>QU127-03</v>
          </cell>
          <cell r="C7">
            <v>46357</v>
          </cell>
          <cell r="D7">
            <v>1009290053</v>
          </cell>
          <cell r="E7" t="str">
            <v>AtpPldII</v>
          </cell>
          <cell r="F7" t="str">
            <v>pET-28a(+)</v>
          </cell>
          <cell r="G7" t="str">
            <v>NdeI/XhoI</v>
          </cell>
          <cell r="H7" t="str">
            <v>Kanamycin</v>
          </cell>
          <cell r="I7">
            <v>1251</v>
          </cell>
          <cell r="J7" t="str">
            <v>2-4ug</v>
          </cell>
          <cell r="K7" t="str">
            <v>Lyophilized</v>
          </cell>
          <cell r="L7" t="str">
            <v>12. ALIQUOTED AND LYOPHILIZED</v>
          </cell>
          <cell r="M7" t="str">
            <v>XV1610018</v>
          </cell>
          <cell r="N7" t="str">
            <v>Needs IDT Screening, Screen Result: PASS</v>
          </cell>
          <cell r="O7" t="str">
            <v xml:space="preserve"> </v>
          </cell>
          <cell r="P7"/>
          <cell r="Q7" t="str">
            <v>CATATGCGTCGCGCAGATTATACGCTGGGGCACGGTAGTACGGGCTTCCGTGTTGCGCACTATGATTTGGAACTGGACTATAAACTGGCCCCGAACCGCTTAACCGCCCGTGCCGTACTTAGCGCGGTGGCGGACTCCGAGCTGGCGCGCATCCCATTAGACCTTGCAGGTCTTACTGTCAAAGGTGTCCGCGTGGATGGCCGCCCGGCGAAGTTTACTCATCGTGGTGGAAAACTGGTTGTCCGCCCGGCGCGTCCAGTTCGTGGTGAGTTCACGGTGGAAGTGCGTTACGCGGGTAATCCGCGTCCGGTGGCGAGCCGCTGGGGGGAAATCGGCTGGGACGAACTTACCGACGGTGCCTTGGTAGCGTCCCAACCTACGGGCGCGCCGAGCTGGTTCCCGTGCAACGACCGTCCGGGTGATAAAGCCACTTATCGCGTGGCCCTGACGACCGCGTCCGCGTACACTGTCCTGGTGACCGGTGATCTGGTAGCACGTCGTGCAGGCGGAAGCGCGACCACCTGGGTTTTCCAACGCCGCGAGCCGACGGCTCCATATCTGATGAGTGTGCAGATTGGGCGTTACGAGAGCCTGGAACTGGGCCCTGGTCAGCGTATTGCGGTCCCGCGCCGTCTGCGTGATGCTGCGGCCCATGACTTTGGACGCCAGCCGGAAATGCTTCGTGTGCTGGGTGAATGGTTCGGCCCATACCCGTTCGGCGAATACGTAGTGGTTGTTACTGATGACGATTTAGATGATCCCATTGAAGCACAGGGCATGGCCATTTTTGGCGGTAATCACGTGGATGGCCGTCGTACGTTTGAACGCTTGGTGGTCCATGAACTGGCGCATCAATGGTTCGGAAATAGCCTGACGGTCGCTGGCTGGCGTCACATCTGGCTGAATGAGGGCTTCGCCACCTACGCAGAATGGCTGTGGAGCGAGGCGTCCGGCGGTGCTCCAGCGGAAGAACACGCTCGTGAGTGGCGTTCTCGCGTCGGCACAGATGTGCCGATTGGCGATCCCGGTGAAGCGCATTTATTTGATGAGCAGGTGTACAAACGCGGAGCCCTGACTTTACACGCGTTGCGCGGGCGTGTGGGGGACGCAGTATTTTTTCCGATGCTGCGTAGTTGGGTCGCAGGGCATACGCATGGTACCGTAACCACGGAAGAATTCATTGCACACGCAGAACGTGCCGCGGGCGTGCCGCTTCGCGAAGATTTCGCAGTATGGCTGGGATGACTCGAG</v>
          </cell>
          <cell r="R7" t="str">
            <v xml:space="preserve">  </v>
          </cell>
          <cell r="T7" t="str">
            <v>U0316P1C12x2</v>
          </cell>
          <cell r="U7" t="str">
            <v>U032601</v>
          </cell>
          <cell r="V7" t="str">
            <v>Box 1 - position 3</v>
          </cell>
          <cell r="W7" t="str">
            <v>Stbl</v>
          </cell>
          <cell r="X7" t="str">
            <v>30C</v>
          </cell>
          <cell r="Y7" t="str">
            <v>E. coli</v>
          </cell>
        </row>
        <row r="8">
          <cell r="A8" t="str">
            <v>XV1610069</v>
          </cell>
          <cell r="B8" t="str">
            <v>UREG001-06</v>
          </cell>
          <cell r="C8">
            <v>46041</v>
          </cell>
          <cell r="D8">
            <v>1009303116</v>
          </cell>
          <cell r="E8" t="str">
            <v>DPW2</v>
          </cell>
          <cell r="F8" t="str">
            <v>pET-32a(+)</v>
          </cell>
          <cell r="G8" t="str">
            <v>NcoI/XhoI</v>
          </cell>
          <cell r="H8" t="str">
            <v>Ampicillin</v>
          </cell>
          <cell r="I8">
            <v>1356</v>
          </cell>
          <cell r="J8" t="str">
            <v>2-4ug</v>
          </cell>
          <cell r="K8" t="str">
            <v>Lyophilized</v>
          </cell>
          <cell r="L8" t="str">
            <v xml:space="preserve">5. Correcting Errors: Fragments </v>
          </cell>
          <cell r="M8" t="str">
            <v>XV1610069</v>
          </cell>
          <cell r="N8" t="str">
            <v>Failed, delivering as fragment</v>
          </cell>
          <cell r="O8" t="str">
            <v xml:space="preserve"> </v>
          </cell>
          <cell r="P8"/>
          <cell r="Q8" t="str">
            <v>CCATGGGCCAGGAAGCGGCTGCGGCAGCGGCAGTTGAACTGGGTGTTAAACGTGGTGTTCCGACCCTGGTGGCCCCGGCGGCGGAAACCAAAGGCGGTCTGTACTACCTGTCTAACCTGGACCAGAACATTGCGGTTATCGTTCAGACCGTTTATTGCTTCGCGGCGGCGGCGGGCGGTGGTGGCGGTGCTGCTGCGGGCGACGCTCTGCGTGAAAGCCTGTCTCGTGTTCTGGTGCACTACTACCCGCTGGCTGGTCGTCTGGCACTTACCGATGATGGCAAACTGATCGTTGACTGTACCGGCGAAGGTGCGGTGTTCGTGGATGCGGTTGCGGATGCAGCAATGGCGGATCTTGGCGATATCACCCGTCCTGATCCGGCTGTTCTGGGTGAACTGGTGTACAGCGTTCCGGGTGCTAAAAACGTTCTGGAAATGCCGCTGCTGGCGGCTCAGGTGACCAAATTCAAATGCGGTGGCTTCGTTCTGGGCCTGGCAATTAATCATTGCATGTTCGATGGTGTTGGTGCGATGCAGTTCGTTAACTCCTGGGGTGAAACCGCACGTGGCGTTCCGCTGTCTGTTCCGCCAGCTCTGGATCGTGCGGTGCTGCGCGCGCGCGATCCGCCGCGCGTTGCATTCCCGCACCACGAATTTGCACAGATCGACGACGGCGACGGCGGTGGTAGTCCGGCGCAGGATGGTGCAGAACCGCCGCTGCTGCACCGTAGCTTCCGTTTCACCCCGGAAAGCATCGCGCGTGTTAAAGCGCTGGCGGCCGGCGACGGCGGCGGCGTTGGCGGCGTTGGCGGTCGTGCGCCGACCACCTTTGAAGCTCTGGCGGGCTTCGTTTGGAGCGCGCGTACGGCGGCGCTGGGCATGGGTCGCGCCCGTCGTTCCAAACTGCTGTTCGCGGTTGATGGCCGTCCGCGCTTCACCGCCCCGCCGCTGCCGGCGGGCTACTTCGGTAACGCGATCGTTCTGACCAGCGCCGCGTGCGCGGCGGGCGAACTGAGCCCGGCGCGTGCGGTGCGCCTGGTTCGTGGCGCAGCGGAAGCGGTGACCGATGCTTACATGCGCTCCGCAGTGGACTACTTCGAAGCTACCCGTGCCCGTCCGTCCCTGGCATCTACCCTGCTGATCACCGCGTGGTCCCGCCTGCCGTTCCGTGCAGCGGACTTTGGCTGGGGCCCGCCGGCGGCGTATGGCCCGGCGGCGCTGCCGGAACGTGAAGTTGCGCTGTTCCTGAGCTGCGCAGGTGAAGGCGGCGGTGTTCGTGTTCTGCTGGGCCTGCCGGCGGCGGCAATGGCGGAATTCGAACGCCTGGTTGATGAAGTTATCTTCtaaCTCGAG</v>
          </cell>
          <cell r="R8" t="str">
            <v xml:space="preserve">  </v>
          </cell>
        </row>
        <row r="9">
          <cell r="A9" t="str">
            <v>XV1610069Fragment</v>
          </cell>
          <cell r="B9" t="str">
            <v>UREG001-06</v>
          </cell>
          <cell r="C9">
            <v>46041</v>
          </cell>
          <cell r="D9">
            <v>1009303116</v>
          </cell>
          <cell r="E9" t="str">
            <v>DPW2</v>
          </cell>
          <cell r="F9" t="str">
            <v>DNA Fragment - No Vector</v>
          </cell>
          <cell r="I9">
            <v>1356</v>
          </cell>
          <cell r="J9" t="str">
            <v>200-400ng</v>
          </cell>
          <cell r="K9" t="str">
            <v>Lyophilized</v>
          </cell>
          <cell r="L9" t="str">
            <v xml:space="preserve">5. Correcting Errors: Fragments </v>
          </cell>
          <cell r="M9" t="str">
            <v>XV1610069Fragment</v>
          </cell>
          <cell r="N9" t="str">
            <v xml:space="preserve"> </v>
          </cell>
          <cell r="O9" t="str">
            <v xml:space="preserve"> </v>
          </cell>
          <cell r="P9"/>
          <cell r="Q9" t="str">
            <v>CCATGGGCCAGGAAGCGGCTGCGGCAGCGGCAGTTGAACTGGGTGTTAAACGTGGTGTTCCGACCCTGGTGGCCCCGGCGGCGGAAACCAAAGGCGGTCTGTACTACCTGTCTAACCTGGACCAGAACATTGCGGTTATCGTTCAGACCGTTTATTGCTTCGCGGCGGCGGCGGGCGGTGGTGGCGGTGCTGCTGCGGGCGACGCTCTGCGTGAAAGCCTGTCTCGTGTTCTGGTGCACTACTACCCGCTGGCTGGTCGTCTGGCACTTACCGATGATGGCAAACTGATCGTTGACTGTACCGGCGAAGGTGCGGTGTTCGTGGATGCGGTTGCGGATGCAGCAATGGCGGATCTTGGCGATATCACCCGTCCTGATCCGGCTGTTCTGGGTGAACTGGTGTACAGCGTTCCGGGTGCTAAAAACGTTCTGGAAATGCCGCTGCTGGCGGCTCAGGTGACCAAATTCAAATGCGGTGGCTTCGTTCTGGGCCTGGCAATTAATCATTGCATGTTCGATGGTGTTGGTGCGATGCAGTTCGTTAACTCCTGGGGTGAAACCGCACGTGGCGTTCCGCTGTCTGTTCCGCCAGCTCTGGATCGTGCGGTGCTGCGCGCGCGCGATCCGCCGCGCGTTGCATTCCCGCACCACGAATTTGCACAGATCGACGACGGCGACGGCGGTGGTAGTCCGGCGCAGGATGGTGCAGAACCGCCGCTGCTGCACCGTAGCTTCCGTTTCACCCCGGAAAGCATCGCGCGTGTTAAAGCGCTGGCGGCCGGCGACGGCGGCGGCGTTGGCGGCGTTGGCGGTCGTGCGCCGACCACCTTTGAAGCTCTGGCGGGCTTCGTTTGGAGCGCGCGTACGGCGGCGCTGGGCATGGGTCGCGCCCGTCGTTCCAAACTGCTGTTCGCGGTTGATGGCCGTCCGCGCTTCACCGCCCCGCCGCTGCCGGCGGGCTACTTCGGTAACGCGATCGTTCTGACCAGCGCCGCGTGCGCGGCGGGCGAACTGAGCCCGGCGCGTGCGGTGCGCCTGGTTCGTGGCGCAGCGGAAGCGGTGACCGATGCTTACATGCGCTCCGCAGTGGACTACTTCGAAGCTACCCGTGCCCGTCCGTCCCTGGCATCTACCCTGCTGATCACCGCGTGGTCCCGCCTGCCGTTCCGTGCAGCGGACTTTGGCTGGGGCCCGCCGGCGGCGTATGGCCCGGCGGCGCTGCCGGAACGTGAAGTTGCGCTGTTCCTGAGCTGCGCAGGTGAAGGCGGCGGTGTTCGTGTTCTGCTGGGCCTGCCGGCGGCGGCAATGGCGGAATTCGAACGCCTGGTTGATGAAGTTATCTTCtaaCTCGAG</v>
          </cell>
          <cell r="R9" t="str">
            <v xml:space="preserve">  </v>
          </cell>
        </row>
        <row r="10">
          <cell r="A10" t="str">
            <v>XV2620106</v>
          </cell>
          <cell r="B10" t="str">
            <v>UMANI036-01</v>
          </cell>
          <cell r="C10">
            <v>46064</v>
          </cell>
          <cell r="D10">
            <v>1009543529</v>
          </cell>
          <cell r="E10" t="str">
            <v>TEM-1-FlagTag</v>
          </cell>
          <cell r="F10" t="str">
            <v>pMS119EH-CM</v>
          </cell>
          <cell r="G10" t="str">
            <v>XbaI</v>
          </cell>
          <cell r="H10" t="str">
            <v>Chloramphenicol</v>
          </cell>
          <cell r="I10">
            <v>918</v>
          </cell>
          <cell r="J10" t="str">
            <v>2-4ug</v>
          </cell>
          <cell r="K10" t="str">
            <v>Lyophilized + glycerol</v>
          </cell>
          <cell r="L10" t="str">
            <v>12. ALIQUOTED AND LYOPHILIZED</v>
          </cell>
          <cell r="M10" t="str">
            <v>XV2620106</v>
          </cell>
          <cell r="N10" t="str">
            <v>Needs IDT Screening, Screen Result: PASS</v>
          </cell>
          <cell r="O10" t="str">
            <v xml:space="preserve"> </v>
          </cell>
          <cell r="P10"/>
          <cell r="Q10" t="str">
            <v>gtcgacAGGAGAAATAATATGTCCATTCAGCATTTCCGCGTGGCCCTGATTCCTTTCTTTGCCGCGTTTTGTTTGCCGGTTTTTGCGCATCCGGAGACCTTGGTTAAGGTGAAAGATGCGGAAGACCAACTCGGAGCTCGCGTGGGCTACATCGAACTCGATTTGAATTCCGGTAAAATCTTAGAAAGTTTTCGCCCTGAAGAACGTTTCCCGATGATGAGCACCTTTAAAGTCCTTCTCTGCGGAGCGGTTCTGTCTCGAGTTGATGCCGGCCAGGAGCAGCTGGGTCGCAGAATTCACTACAGCCAAAATGACTTAGTGGAATATTCACCGGTGACGGAAAAACATCTTACGGATGGCATGACAGTACGTGAACTGTGCAGCGCGGCAATCACCATGAGCGACAATACGGCAGCCAACCTGCTGCTAACCACCATTGGGGGTCCGAAAGAGCTGACCGCTTTCCTGCACAACATGGGCGACCACGTGACGAGGCTGGATCGCTGGGAACCCGAGCTGAATGAAGCAATTCCAAACGACGAACGTGATACTACTATGCCAGCGGCAATGGCGACGACTTTACGCAAACTGCTGACAGGCGAACTTCTGACCTTAGCATCGCGTCAACAGCTGATTGATTGGATGGAGGCTGACAAAGTAGCCGGCCCGTTACTACGTAGTGCCCTTCCGGCCGGATGGTTTATTGCGGATAAGTCTGGCGCGGGCGAGCGCGGTTCGCGTGGCATTATCGCGGCCTTGGGTCCGGATGGTAAGCCCTCACGTATCGTCGTCATCTATACCACAGGGAGCCAGGCCACCATGGATGAACGGAACCGCCAGATTGCGGAAATTGGCGCATCGCTGATAAAACATTGGGGCGGCTCCGACTACAAAGACGATGACGACAAGTAAaagctt</v>
          </cell>
          <cell r="R10" t="str">
            <v xml:space="preserve">  </v>
          </cell>
          <cell r="T10" t="str">
            <v>U0312P1C1</v>
          </cell>
          <cell r="U10" t="str">
            <v>U031603</v>
          </cell>
          <cell r="V10" t="str">
            <v>Box 1 - position 64</v>
          </cell>
          <cell r="W10" t="str">
            <v>TOP10</v>
          </cell>
          <cell r="X10" t="str">
            <v>37C</v>
          </cell>
          <cell r="Y10" t="str">
            <v>E. coli</v>
          </cell>
        </row>
        <row r="11">
          <cell r="A11" t="str">
            <v>XV2620107</v>
          </cell>
          <cell r="B11" t="str">
            <v>UMANI036-02</v>
          </cell>
          <cell r="C11">
            <v>46064</v>
          </cell>
          <cell r="D11">
            <v>1009543529</v>
          </cell>
          <cell r="E11" t="str">
            <v>KPC-2-FlagTag</v>
          </cell>
          <cell r="F11" t="str">
            <v>pMS119EH-CM</v>
          </cell>
          <cell r="G11" t="str">
            <v>XbaI</v>
          </cell>
          <cell r="H11" t="str">
            <v>Chloramphenicol</v>
          </cell>
          <cell r="I11">
            <v>939</v>
          </cell>
          <cell r="J11" t="str">
            <v>2-4ug</v>
          </cell>
          <cell r="K11" t="str">
            <v>Lyophilized + glycerol</v>
          </cell>
          <cell r="L11" t="str">
            <v>12. ALIQUOTED AND LYOPHILIZED</v>
          </cell>
          <cell r="M11" t="str">
            <v>XV2620107</v>
          </cell>
          <cell r="N11" t="str">
            <v>Needs IDT Screening, Screen Result: PASS</v>
          </cell>
          <cell r="O11" t="str">
            <v xml:space="preserve"> </v>
          </cell>
          <cell r="P11"/>
          <cell r="Q11" t="str">
            <v>gtcgacAGGAGAAATAATATGAGCCTGTATCGCCGTCTAGTTCTGCTGTCGTGTCTCTCATGGCCGCTGGCTGGTTTTTCTGCAACCGCGCTGACCAACCTCGTAGCGGAACCATTTGCTAAATTAGAACAGGACTTTGGTGGCTCGATCGGTGTGTACGCGATGGATACCGGCTCAGGCGCAACTGTAAGTTACCGCGCGGAGGAGCGTTTCCCGCTGTGCAGCAGTTTCAAGGGCTTTCTTGCGGCCGCGGTGTTAGCGCGCAGCCAGCAGCAGGCCGGTTTGCTGGACACACCGATTCGTTACGGTAAAAATGCGCTGGTTCCGTGGTCACCCATCTCGGAAAAATATCTGACAACCGGCATGACGGTGGCGGAACTGTCCGCGGCCGCCGTGCAATATAGTGATAACGCCGCCGCCAATTTGTTGTTAAAGGAACTAGGCGGTCCGGCCGGGCTGACGGCCTTCATGCGTAGCATTGGCGATACCACTTTCCGTCTGGACCGCTGGGAACTGGAATTAAACTCCGCCATTCCAGGCGATGCGCGCGATACCAGCTCGCCGCGTGCAGTGACGGAAAGCCTTCAAAAACTGACACTGGGCTCTGCACTTGCTGCGCCGCAGCGGCAGCAATTTGTTGATTGGCTTAAAGGCAACACGACCGGCAACCACCGCATTCGCGCGGCGGTGCCGGCAGATTGGGCAGTAGGAGATAAAACCGGTACCTGCGGAGTTTATGGTACGGCAAATGACTATGCCGTCGTCTGGCCCACTGGGCGAGCACCTATTGTGCTGGCCGTCTACACCAGGGCGCCTAATAAAGATGACAAGCATAGCGAGGCAGTGATCGCCGCTGCGGCTCGCCTCGCGTTAGAGGGATTGGGCGTTAATGGGCAGGGCGGCTCCGACTACAAAGACGATGACGACAAGTAAaagctt</v>
          </cell>
          <cell r="R11" t="str">
            <v xml:space="preserve">  </v>
          </cell>
          <cell r="T11" t="str">
            <v>U0312P1E1</v>
          </cell>
          <cell r="U11" t="str">
            <v>U031604</v>
          </cell>
          <cell r="V11" t="str">
            <v>Box 1 - position 65</v>
          </cell>
          <cell r="W11" t="str">
            <v>TOP10</v>
          </cell>
          <cell r="X11" t="str">
            <v>37C</v>
          </cell>
          <cell r="Y11" t="str">
            <v>E. coli</v>
          </cell>
        </row>
        <row r="12">
          <cell r="A12" t="str">
            <v>XV2620108</v>
          </cell>
          <cell r="B12" t="str">
            <v>UMANI036-03</v>
          </cell>
          <cell r="C12">
            <v>46064</v>
          </cell>
          <cell r="D12">
            <v>1009543529</v>
          </cell>
          <cell r="E12" t="str">
            <v>OmpA-SpyTag-His6</v>
          </cell>
          <cell r="F12" t="str">
            <v>POKD5-Ptac</v>
          </cell>
          <cell r="G12" t="str">
            <v>SalI/HindIII</v>
          </cell>
          <cell r="H12" t="str">
            <v>Ampicillin</v>
          </cell>
          <cell r="I12">
            <v>1176</v>
          </cell>
          <cell r="J12" t="str">
            <v>2-4ug</v>
          </cell>
          <cell r="K12" t="str">
            <v>Lyophilized + glycerol</v>
          </cell>
          <cell r="L12" t="str">
            <v>12. ALIQUOTED AND LYOPHILIZED</v>
          </cell>
          <cell r="M12" t="str">
            <v>XV2620108</v>
          </cell>
          <cell r="N12" t="str">
            <v>Needs IDT Screening, Screen Result: PASS</v>
          </cell>
          <cell r="O12" t="str">
            <v xml:space="preserve"> </v>
          </cell>
          <cell r="P12"/>
          <cell r="Q12" t="str">
            <v>gtcgacAGGAGAAATAATATGAGAGGATCTCACCATCACCATCACCATACGGATCCGGCCCTGAGGCCTATGCGGCCGATGAAAAAGACAGCTATCGCGATTGCAGTGGCACTGGCTGGTTTCGCTACCGTAGCGCAGGCCGCTCCGAAAGATAACACCTGGTACACTGGTGCTAAACTGGGCTGGTCCCAGTACCATGACACTGGTTTCATCAACAACAATGGCCCGACCCATGAAAACCAACTGGGCGCTGGTGCTTTTGGTGGTTACCAGGTTAACCCGTATGTTGGCTTTGAAATGGGTTACGACTGGTTAGGTCGTATGCCGTACAAAGGCAGCGTTGAAAACGGTGCATACAAAGCTCAGGGCGTTCAACTGACCGCTAAACTGGGTTACCCAATCACTGACGACCTGGACATCTACACTCGTCTGGGTGGCATGGTATGGCGTGCAGACACTAAATCCAACGTTTATGGTAAAAACCACGACACCGGCGTTTCTCCGGTCTTCGCTGGCGGTGTTGAGTACGCGATCACTCCTGAAATCGCTACCCGTCTGGAATACCAGTGGACCAACAACATCGGTGACGCACACACCATCGGCACTCGTCCGGACAACGGCATGCTGAGCCTGGGTGTTTCCTACCGTTTCGGTCAGGGCGAAGCAGCTCCAGTAGTTGCTCCGGCTCCAGCTCCGGCACCGGAAGTACAGACCAAGCACTTCACTCTGAAGTCTGACGTTCTGTTCAACTTCAACAAAGCAACCCTGAAACCGGAAGGTCAGGCTGCTCTGGATCAGCTGTACAGCCAGCTGAGCAACCTGGATCCGAAAGACGGTTCCGTAGTTGTTCTGGGTTACACCGACCGCATCGGTTCTGACGCTTACAACCAGGGTCTGTCCGAGCGCCGTGCTCAGTCTGTTGTTGATTACCTGATCTCCAAAGGTATCCCGGCAGACAAGATCTCCGCACGTGGTATGGGCGAATCCAACCCGGTTACTGGCAACACCTGTGACAACGTGAAACAGCGTGCTGCACTGATCGACTGCCTGGCTCCGGATCGTCGCGTAGAGATCGAAGTTAAAGGTATCAAAGACGTTGTAACTCAGCCGCAGGCTGGTGGTGGTTCCGCCCATATTGTTATGGTGGATGCGTATAAGCCGACCAAATAAaagctt</v>
          </cell>
          <cell r="R12" t="str">
            <v xml:space="preserve">  </v>
          </cell>
          <cell r="T12" t="str">
            <v>U0317P1G9</v>
          </cell>
          <cell r="U12" t="str">
            <v>U032602</v>
          </cell>
          <cell r="V12" t="str">
            <v>Box 1 - position 66</v>
          </cell>
          <cell r="W12" t="str">
            <v>TOP10</v>
          </cell>
          <cell r="X12" t="str">
            <v>37C</v>
          </cell>
          <cell r="Y12" t="str">
            <v>E. coli</v>
          </cell>
        </row>
        <row r="13">
          <cell r="A13" t="str">
            <v>XV2620109</v>
          </cell>
          <cell r="B13" t="str">
            <v>UMANI036-04</v>
          </cell>
          <cell r="C13">
            <v>46064</v>
          </cell>
          <cell r="D13">
            <v>1009543529</v>
          </cell>
          <cell r="E13" t="str">
            <v>SiriusGFP-AlphaSynuclein-Tat-His6</v>
          </cell>
          <cell r="F13" t="str">
            <v>pMS119EH-CM</v>
          </cell>
          <cell r="G13" t="str">
            <v>XbaI</v>
          </cell>
          <cell r="H13" t="str">
            <v>Chloramphenicol</v>
          </cell>
          <cell r="I13">
            <v>1005</v>
          </cell>
          <cell r="J13" t="str">
            <v>2-4ug</v>
          </cell>
          <cell r="K13" t="str">
            <v>Lyophilized + glycerol</v>
          </cell>
          <cell r="L13" t="str">
            <v>12. ALIQUOTED AND LYOPHILIZED</v>
          </cell>
          <cell r="M13" t="str">
            <v>XV2620109</v>
          </cell>
          <cell r="N13" t="str">
            <v>Needs IDT Screening, Screen Result: PASS</v>
          </cell>
          <cell r="O13" t="str">
            <v xml:space="preserve"> </v>
          </cell>
          <cell r="P13"/>
          <cell r="Q13" t="str">
            <v>gtcgacAGGAGAAATAATATGGCAAATAACGATCTCTTTCAGGCATCACGTCGGCGTTTTCTGGCACAACTCGGCGGCTTAACCGTCGCCGGGATGCTGGGGCCGTCATTGTTAACGCCGCGACGTGCGACTGCGGCGCAAGCGGCGATGGATGTATTTAAAAAGGGATTCAGCATTGCGGACGAGGGTGTTGTGGGCGCCGTCGAAGGCGGCTCCATGAGTAAAGGTGAAGAATTATTTACTGGTGTTGTTCCTATTTTAGTTGAATTAGATGGTGATGTTAATGGTCATAAATTTAGTGTTAGAGGTGAAGGTGAAGGTGATGCTACTAATGGTAAATTAACTTTAAAATTTATTTGTACTACTGGTAAATTACCTGTTCCTTGGCCTACTTTAGTTACTACTTTAACTTATGGTGTTCAATGTTTTAGTAGATATCCTGATCATATGAAAAGACATGATTTTTTTAAAAGTGCTATGCCTGAAGGTTATGTTCAAGAAAGAACTATTAGTTTTAAAGATGATGGTACTTATAAAACTAGAGCTGAAGTTAAATTTGAAGGTGATACTTTAGTTAATAGAATTGAATTAAAAGGTATTGATTTTAAAGAAGATGGTAATATTTTAGGTCATAAATTAGAATATAATTTTAATCGTCATAATGTTTATATTACTGCTGATAAACAAAAAAATGGTATTAAAGCTAATTTTAAAATTAGACATAATGTTGAAGATGGTAGTGTTCAATTAGCTGATCATTATCAACAAAATACTCCTATTGGTGATGGTCCTGTTTTATTACCTGATAATCATTATTTAAGTACTCAAGTTAAATTAAGTAAAGATCCTAATGAAAAAAGAGATCATATGGTTTTATTAGAATTTGTTACTGCTGCTGGTATTACTCATGGTATGGATGAATTATATAAAGGCGGCTCCAGAGGATCTCACCATCACCATCACCATACGGATCCGGCCCTGAGGCCTATGCGGCCGTGAaagctt</v>
          </cell>
          <cell r="R13" t="str">
            <v xml:space="preserve">   </v>
          </cell>
          <cell r="T13" t="str">
            <v>U0313P1A10</v>
          </cell>
          <cell r="U13" t="str">
            <v>U032403</v>
          </cell>
          <cell r="V13" t="str">
            <v>Box 1 - position 67</v>
          </cell>
          <cell r="W13" t="str">
            <v>TOP10</v>
          </cell>
          <cell r="X13" t="str">
            <v>37C</v>
          </cell>
          <cell r="Y13" t="str">
            <v>E. coli</v>
          </cell>
        </row>
        <row r="14">
          <cell r="A14" t="str">
            <v>XV2620111</v>
          </cell>
          <cell r="B14" t="str">
            <v>UMANI036-06</v>
          </cell>
          <cell r="C14">
            <v>46064</v>
          </cell>
          <cell r="D14">
            <v>1009543529</v>
          </cell>
          <cell r="E14" t="str">
            <v>SiriusGFP-SpyCatcher-Tat-His6</v>
          </cell>
          <cell r="F14" t="str">
            <v>POKD4-Ptac</v>
          </cell>
          <cell r="G14" t="str">
            <v>SalI/HindIII</v>
          </cell>
          <cell r="H14" t="str">
            <v>Kanamycin</v>
          </cell>
          <cell r="I14">
            <v>1293</v>
          </cell>
          <cell r="J14" t="str">
            <v>2-4ug</v>
          </cell>
          <cell r="K14" t="str">
            <v>Lyophilized + glycerol</v>
          </cell>
          <cell r="L14" t="str">
            <v>6. Vector Insertion</v>
          </cell>
          <cell r="M14" t="str">
            <v>XV2620111</v>
          </cell>
          <cell r="N14" t="str">
            <v>Needs IDT Screening, Screen Result: PASS</v>
          </cell>
          <cell r="O14" t="str">
            <v xml:space="preserve"> </v>
          </cell>
          <cell r="P14"/>
          <cell r="Q14" t="str">
            <v>gtcgacAGGAGAAATAATATGGCAAATAACGATCTCTTTCAGGCATCACGTCGGCGTTTTCTGGCACAACTCGGCGGCTTAACCGTCGCCGGGATGCTGGGGCCGTCATTGTTAACGCCGCGACGTGCGACTGCGGCGCAAGCGGCGGGCGGCTCCAGAGGATCTCACCATCACCATCACCATACGGATCCGGCCCTGAGGCCTATGCGGCCGGGCGGCTCCATGAGTAAAGGTGAAGAATTATTTACTGGTGTTGTTCCTATTTTAGTTGAATTAGATGGTGATGTTAATGGTCATAAATTTAGTGTTAGAGGTGAAGGTGAAGGTGATGCTACTAATGGTAAATTAACTTTAAAATTTATTTGTACTACTGGTAAATTACCTGTTCCTTGGCCTACTTTAGTTACTACTTTAACTTATGGTGTTCAATGTTTTAGTAGATATCCTGATCATATGAAAAGACATGATTTTTTTAAAAGTGCTATGCCTGAAGGTTATGTTCAAGAAAGAACTATTAGTTTTAAAGATGATGGTACTTATAAAACTAGAGCTGAAGTTAAATTTGAAGGTGATACTTTAGTTAATAGAATTGAATTAAAAGGTATTGATTTTAAAGAAGATGGTAATATTTTAGGTCATAAATTAGAATATAATTTTAATCGTCATAATGTTTATATTACTGCTGATAAACAAAAAAATGGTATTAAAGCTAATTTTAAAATTAGACATAATGTTGAAGATGGTAGTGTTCAATTAGCTGATCATTATCAACAAAATACTCCTATTGGTGATGGTCCTGTTTTATTACCTGATAATCATTATTTAAGTACTCAAGTTAAATTAAGTAAAGATCCTAATGAAAAAAGAGATCATATGGTTTTATTAGAATTTGTTACTGCTGCTGGTATTACTCATGGTATGGATGAATTATATAAAGGTGGTTCGGTGGACACCTTAAGCGGGCTTTCCAGCGAGCAAGGCCAGTCAGGAGACATGACCATCGAAGAGGATAGCGCGACTCATATCAAGTTCAGTAAACGCGATGAAGATGGTAAAGAACTGGCGGGCGCAACCATGGAGTTGCGTGACTCGTCTGGTAAAACAATTAGCACGTGGATTTCAGATGGCCAGGTGAAAGATTTTTATCTGTACCCGGGTAAATACACCTTTGTTGAAACGGCGGCCCCGGACGGATATGAAGTCGCTACCGCAATTACGTTCACCGTAAACGAACAAGGCCAGGTGACCGTTAATGGCAAAGCCACGAAGGGCGATGCCCATATATAAaagctt</v>
          </cell>
          <cell r="R14" t="str">
            <v xml:space="preserve">   </v>
          </cell>
          <cell r="V14" t="str">
            <v>Box 1 - position 68</v>
          </cell>
        </row>
        <row r="15">
          <cell r="A15" t="str">
            <v>XV2620112</v>
          </cell>
          <cell r="B15" t="str">
            <v>UMANI036-07</v>
          </cell>
          <cell r="C15">
            <v>46064</v>
          </cell>
          <cell r="D15">
            <v>1009543529</v>
          </cell>
          <cell r="E15" t="str">
            <v>SiriusGFP-SpyCatcher-His6</v>
          </cell>
          <cell r="F15" t="str">
            <v>POKD4-Ptac</v>
          </cell>
          <cell r="G15" t="str">
            <v>SalI/HindIII</v>
          </cell>
          <cell r="H15" t="str">
            <v>Kanamycin</v>
          </cell>
          <cell r="I15">
            <v>1158</v>
          </cell>
          <cell r="J15" t="str">
            <v>2-4ug</v>
          </cell>
          <cell r="K15" t="str">
            <v>Lyophilized + glycerol</v>
          </cell>
          <cell r="L15" t="str">
            <v>8. Sequencing Gene: First Round</v>
          </cell>
          <cell r="M15" t="str">
            <v>XV2620112</v>
          </cell>
          <cell r="N15" t="str">
            <v>Needs IDT Screening, Screen Result: PASS</v>
          </cell>
          <cell r="O15" t="str">
            <v xml:space="preserve"> </v>
          </cell>
          <cell r="P15"/>
          <cell r="Q15" t="str">
            <v>gtcgacAGGAGAAATAATATGAGAGGATCTCACCATCACCATCACCATACGGATCCGGCCCTGAGGCCTATGCGGCCGGGCGGCTCCATGAGTAAAGGTGAAGAATTATTTACTGGTGTTGTTCCTATTTTAGTTGAATTAGATGGTGATGTTAATGGTCATAAATTTAGTGTTAGAGGTGAAGGTGAAGGTGATGCTACTAATGGTAAATTAACTTTAAAATTTATTTGTACTACTGGTAAATTACCTGTTCCTTGGCCTACTTTAGTTACTACTTTAACTTATGGTGTTCAATGTTTTAGTAGATATCCTGATCATATGAAAAGACATGATTTTTTTAAAAGTGCTATGCCTGAAGGTTATGTTCAAGAAAGAACTATTAGTTTTAAAGATGATGGTACTTATAAAACTAGAGCTGAAGTTAAATTTGAAGGTGATACTTTAGTTAATAGAATTGAATTAAAAGGTATTGATTTTAAAGAAGATGGTAATATTTTAGGTCATAAATTAGAATATAATTTTAATCGTCATAATGTTTATATTACTGCTGATAAACAAAAAAATGGTATTAAAGCTAATTTTAAAATTAGACATAATGTTGAAGATGGTAGTGTTCAATTAGCTGATCATTATCAACAAAATACTCCTATTGGTGATGGTCCTGTTTTATTACCTGATAATCATTATTTAAGTACTCAAGTTAAATTAAGTAAAGATCCTAATGAAAAAAGAGATCATATGGTTTTATTAGAATTTGTTACTGCTGCTGGTATTACTCATGGTATGGATGAATTATATAAAGGTGGTTCGGTGGACACCTTAAGCGGGCTTTCCAGCGAGCAAGGCCAGTCAGGAGACATGACCATCGAAGAGGATAGCGCGACTCATATCAAGTTCAGTAAACGCGATGAAGATGGTAAAGAACTGGCGGGCGCAACCATGGAGTTGCGTGACTCGTCTGGTAAAACAATTAGCACGTGGATTTCAGATGGCCAGGTGAAAGATTTTTATCTGTACCCGGGTAAATACACCTTTGTTGAAACGGCGGCCCCGGACGGATATGAAGTCGCTACCGCAATTACGTTCACCGTAAACGAACAAGGCCAGGTGACCGTTAATGGCAAAGCCACGAAGGGCGATGCCCATATATAAaagctt</v>
          </cell>
          <cell r="R15" t="str">
            <v xml:space="preserve">   </v>
          </cell>
          <cell r="V15" t="str">
            <v>Box 1 - position 69</v>
          </cell>
        </row>
        <row r="16">
          <cell r="A16" t="str">
            <v>XV2620113</v>
          </cell>
          <cell r="B16" t="str">
            <v>UMANI036-08</v>
          </cell>
          <cell r="C16">
            <v>46064</v>
          </cell>
          <cell r="D16">
            <v>1009543532</v>
          </cell>
          <cell r="E16" t="str">
            <v>BLIPI-Tat-His6</v>
          </cell>
          <cell r="F16" t="str">
            <v>pMS119EH-CM</v>
          </cell>
          <cell r="G16" t="str">
            <v>XbaI</v>
          </cell>
          <cell r="H16" t="str">
            <v>Chloramphenicol</v>
          </cell>
          <cell r="I16">
            <v>780</v>
          </cell>
          <cell r="J16" t="str">
            <v>2-4ug</v>
          </cell>
          <cell r="K16" t="str">
            <v>Lyophilized + glycerol</v>
          </cell>
          <cell r="L16" t="str">
            <v>12. ALIQUOTED AND LYOPHILIZED</v>
          </cell>
          <cell r="M16" t="str">
            <v>XV2620113</v>
          </cell>
          <cell r="N16" t="str">
            <v>Needs IDT Screening, Screen Result: PASS</v>
          </cell>
          <cell r="O16" t="str">
            <v xml:space="preserve"> </v>
          </cell>
          <cell r="P16"/>
          <cell r="Q16" t="str">
            <v>gtcgacAGGAGAAATAATATGGCAAATAACGATCTCTTTCAGGCATCACGTCGGCGTTTTCTGGCACAACTCGGCGGCTTAACCGTCGCCGGGATGCTGGGGCCGTCATTGTTAACGCCGCGACGTGCGACTGCGGCGCAAGCGGCGAGAGGATCTCACCATCACCATCACCATACGGATCCGGCCCTGAGGCCTATGCGGCCG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TGAaagctt</v>
          </cell>
          <cell r="R16" t="str">
            <v xml:space="preserve">   </v>
          </cell>
          <cell r="T16" t="str">
            <v>U0312P1B2</v>
          </cell>
          <cell r="U16" t="str">
            <v>U031605</v>
          </cell>
          <cell r="V16" t="str">
            <v>Box 1 - position 70</v>
          </cell>
          <cell r="W16" t="str">
            <v>TOP10</v>
          </cell>
          <cell r="X16" t="str">
            <v>37C</v>
          </cell>
          <cell r="Y16" t="str">
            <v>E. coli</v>
          </cell>
        </row>
        <row r="17">
          <cell r="A17" t="str">
            <v>XV2620114</v>
          </cell>
          <cell r="B17" t="str">
            <v>UMANI036-09</v>
          </cell>
          <cell r="C17">
            <v>46064</v>
          </cell>
          <cell r="D17">
            <v>1009543532</v>
          </cell>
          <cell r="E17" t="str">
            <v>BLIPI-AlphaSynuclein-Tat-His6</v>
          </cell>
          <cell r="F17" t="str">
            <v>pMS119EH-CM</v>
          </cell>
          <cell r="G17" t="str">
            <v>XbaI</v>
          </cell>
          <cell r="H17" t="str">
            <v>Chloramphenicol</v>
          </cell>
          <cell r="I17">
            <v>849</v>
          </cell>
          <cell r="J17" t="str">
            <v>2-4ug</v>
          </cell>
          <cell r="K17" t="str">
            <v>Lyophilized + glycerol</v>
          </cell>
          <cell r="L17" t="str">
            <v>12. ALIQUOTED AND LYOPHILIZED</v>
          </cell>
          <cell r="M17" t="str">
            <v>XV2620114</v>
          </cell>
          <cell r="N17" t="str">
            <v>Needs IDT Screening, Screen Result: PASS</v>
          </cell>
          <cell r="O17" t="str">
            <v xml:space="preserve"> </v>
          </cell>
          <cell r="P17"/>
          <cell r="Q17" t="str">
            <v>gtcgacAGGAGAAATAATATGGCAAATAACGATCTCTTTCAGGCATCACGTCGGCGTTTTCTGGCACAACTCGGCGGCTTAACCGTCGCCGGGATGCTGGGGCCGTCATTGTTAACGCCGCGACGTGCGACTGCGGCGCAAGCGGCGATGGATGTATTTAAAAAGGGATTCAGCATTGCGGACGAGGGTGTTGTGGGCGCCGTCGAA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GGTGGTTCGAGAGGATCTCACCATCACCATCACCATACGGATCCGGCCCTGAGGCCTATGCGGCCGTGAaagctt</v>
          </cell>
          <cell r="R17" t="str">
            <v xml:space="preserve">   </v>
          </cell>
          <cell r="T17" t="str">
            <v>U0312P1E2</v>
          </cell>
          <cell r="U17" t="str">
            <v>U031606</v>
          </cell>
          <cell r="V17" t="str">
            <v>Box 1 - position 71</v>
          </cell>
          <cell r="W17" t="str">
            <v>TOP10</v>
          </cell>
          <cell r="X17" t="str">
            <v>37C</v>
          </cell>
          <cell r="Y17" t="str">
            <v>E. coli</v>
          </cell>
        </row>
        <row r="18">
          <cell r="A18" t="str">
            <v>XV2620115</v>
          </cell>
          <cell r="B18" t="str">
            <v>UMANI036-10</v>
          </cell>
          <cell r="C18">
            <v>46064</v>
          </cell>
          <cell r="D18">
            <v>1009543532</v>
          </cell>
          <cell r="E18" t="str">
            <v>BLIPI-AlphaSynuclein-His6</v>
          </cell>
          <cell r="F18" t="str">
            <v>pMS119EH-CM</v>
          </cell>
          <cell r="G18" t="str">
            <v>XbaI</v>
          </cell>
          <cell r="H18" t="str">
            <v>Chloramphenicol</v>
          </cell>
          <cell r="I18">
            <v>723</v>
          </cell>
          <cell r="J18" t="str">
            <v>2-4ug</v>
          </cell>
          <cell r="K18" t="str">
            <v>Lyophilized + glycerol</v>
          </cell>
          <cell r="L18" t="str">
            <v>12. ALIQUOTED AND LYOPHILIZED</v>
          </cell>
          <cell r="M18" t="str">
            <v>XV2620115</v>
          </cell>
          <cell r="N18" t="str">
            <v>Needs IDT Screening, Screen Result: PASS</v>
          </cell>
          <cell r="O18" t="str">
            <v xml:space="preserve"> </v>
          </cell>
          <cell r="P18"/>
          <cell r="Q18" t="str">
            <v>gtcgacAGGAGAAATAATATGATGGATGTATTTAAAAAGGGATTCAGCATTGCGGACGAGGGTGTTGTGGGCGCCGTCGAA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GGTGGTTCGAGAGGATCTCACCATCACCATCACCATACGGATCCGGCCCTGAGGCCTATGCGGCCGTGAaagctt</v>
          </cell>
          <cell r="R18" t="str">
            <v xml:space="preserve">   </v>
          </cell>
          <cell r="T18" t="str">
            <v>U0312P1B3</v>
          </cell>
          <cell r="U18" t="str">
            <v>U031607</v>
          </cell>
          <cell r="V18" t="str">
            <v>Box 1 - position 72</v>
          </cell>
          <cell r="W18" t="str">
            <v>TOP10</v>
          </cell>
          <cell r="X18" t="str">
            <v>37C</v>
          </cell>
          <cell r="Y18" t="str">
            <v>E. coli</v>
          </cell>
        </row>
        <row r="19">
          <cell r="A19" t="str">
            <v>XV2620117</v>
          </cell>
          <cell r="B19" t="str">
            <v>UMANI036-12</v>
          </cell>
          <cell r="C19">
            <v>46064</v>
          </cell>
          <cell r="D19">
            <v>1009543532</v>
          </cell>
          <cell r="E19" t="str">
            <v>BLIPI-SpyCatcher-His6</v>
          </cell>
          <cell r="F19" t="str">
            <v>POKD4-PTac</v>
          </cell>
          <cell r="G19" t="str">
            <v>SalI/HindIII</v>
          </cell>
          <cell r="H19" t="str">
            <v>Kanamycin</v>
          </cell>
          <cell r="I19">
            <v>1002</v>
          </cell>
          <cell r="J19" t="str">
            <v>2-4ug</v>
          </cell>
          <cell r="K19" t="str">
            <v>Lyophilized + glycerol</v>
          </cell>
          <cell r="L19" t="str">
            <v>8. Sequencing Gene: First Round</v>
          </cell>
          <cell r="M19" t="str">
            <v>XV2620117</v>
          </cell>
          <cell r="N19" t="str">
            <v>Needs IDT Screening, Screen Result: PASS</v>
          </cell>
          <cell r="O19" t="str">
            <v xml:space="preserve"> </v>
          </cell>
          <cell r="P19"/>
          <cell r="Q19" t="str">
            <v>gtcgacAGGAGAAATAATATGAGAGGATCTCACCATCACCATCACCATACGGATCCGGCCCTGAGGCCTATGCGGCCG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GGCGGCTCCGTGGACACCTTAAGCGGGCTTTCCAGCGAGCAAGGCCAGTCAGGAGACATGACCATCGAAGAGGATAGCGCGACTCATATCAAGTTCAGTAAACGCGATGAAGATGGTAAAGAACTGGCGGGCGCAACCATGGAGTTGCGTGACTCGTCTGGTAAAACAATTAGCACGTGGATTTCAGATGGCCAGGTGAAAGATTTTTATCTGTACCCGGGTAAATACACCTTTGTTGAAACGGCGGCCCCGGACGGATATGAAGTCGCTACCGCAATTACGTTCACCGTAAACGAACAAGGCCAGGTGACCGTTAATGGCAAAGCCACGAAGGGCGATGCCCATATATGAaagctt</v>
          </cell>
          <cell r="R19" t="str">
            <v xml:space="preserve">   </v>
          </cell>
          <cell r="V19" t="str">
            <v>Box 1 - position 73</v>
          </cell>
        </row>
        <row r="20">
          <cell r="A20" t="str">
            <v>XV2620118</v>
          </cell>
          <cell r="B20" t="str">
            <v>UMANI036-13</v>
          </cell>
          <cell r="C20">
            <v>46064</v>
          </cell>
          <cell r="D20">
            <v>1009543532</v>
          </cell>
          <cell r="E20" t="str">
            <v>Human-MMP8-mycHis6</v>
          </cell>
          <cell r="F20" t="str">
            <v>pMS119EH-AMP</v>
          </cell>
          <cell r="G20" t="str">
            <v>XbaI/HindIII</v>
          </cell>
          <cell r="H20" t="str">
            <v>Ampicillin</v>
          </cell>
          <cell r="I20">
            <v>1452</v>
          </cell>
          <cell r="J20" t="str">
            <v>2-4ug</v>
          </cell>
          <cell r="K20" t="str">
            <v>Lyophilized + glycerol</v>
          </cell>
          <cell r="L20" t="str">
            <v>12. ALIQUOTED AND LYOPHILIZED</v>
          </cell>
          <cell r="M20" t="str">
            <v>XV2620118</v>
          </cell>
          <cell r="N20" t="str">
            <v>Needs IDT Screening, Screen Result: PASS</v>
          </cell>
          <cell r="O20" t="str">
            <v xml:space="preserve"> </v>
          </cell>
          <cell r="P20"/>
          <cell r="Q20" t="str">
            <v>tctagaAGGAGAAATAATATGTTCCCCGTAAGCTCAAAGGAAAAAAACACCAAAACCGTTCAGGATTATTTGGAAAAGTTCTATCAGCTGCCTTCCAACCAGTATCAGTCGACACGCAAAAACGGTACCAACGTTATCGTGGAAAAACTGAAAGAAATGCAGCGTTTCTTCGGCCTTAACGTGACAGGCAAGCCCAACGAGGAAACATTGGATATGATGAAGAAGCCGCGTTGCGGTGTGCCAGATTCTGGCGGCTTTATGCTTACACCAGGAAACCCCAAATGGGAACGTACCAATCTTACTTATCGTATTCGTAACTATACGCCACAACTTAGCGAAGCGGAAGTGGAGCGTGCGATCAAGGACGCATTTGAACTGTGGTCAGTGGCCTCGCCACTGATCTTCACCCGCATTAGCCAAGGCGAAGCAGATATTAATATTGCCTTTTACCAGCGTGATCACGGCGACAACTCACCATTCGATGGCCCGAACGGCATTTTAGCCCACGCATTTCAGCCGGGTCAGGGAATTGGCGGCGACGCGCATTTCGACGCAGAAGAAACGTGGACCAATACTAGCGCCAACTACAACTTGTTTCTGGTGGCCGCCCATGAATTTGGCCATAGCCTTGGACTGGCCCACAGTTCAGACCCGGGGGCTTTAATGTATCCAAATTACGCGTTCCGCGAAACGAGCAACTATAGCCTGCCGCAGGATGATATCGATGGCATTCAGGCCATCTACGGCCTGTCCTCCAATCCGATTCAACCTACGGGCCCGTCCACGCCGAAGCCATGCGATCCGAGCTTGACTTTCGATGCGATTACCACCCTGCGCGGCGAGATCCTTTTTTTTAAAGATCGTTACTTTTGGCGTCGCCATCCGCAATTGCAACGCGTGGAAATGAATTTTATCTCGCTGTTCTGGCCGTCGTTACCGACTGGTATCCAGGCGGCATATGAGGATTTTGACCGCGATCTGATCTTCCTGTTTAAGGGAAACCAATACTGGGCGTTGTCCGGCTATGATATTCTTCAGGGCTATCCCAAAGACATTAGTAACTATGGCTTTCCTAGCAGTGTTCAGGCCATTGACGCAGCGGTGTTCTACCGTAGCAAAACGTACTTCTTCGTTAACGACCAGTTTTGGCGCTACGATAACCAGCGCCAGTTTATGGAGCCCGGCTATCCTAAATCGATTTCCGGAGCCTTTCCAGGTATTGAATCAAAAGTTGACGCCGTTTTTCAGCAAGAACATTTTTTCCACGTATTTTCAGGTCCGCGCTATTATGCGTTCGATCTGATCGCCCAGCGTGTGACACGCGTCGCTCGCGGTAACAAATGGTTAAACTGCCGCTATGGCCTCGAGTTCGAGGCTTATGAGCAGAAGTTAATTAGCGAAGAGGACTTAAATAGCGCTGTCGACCATCACCATCACCATCACTAAaagctt</v>
          </cell>
          <cell r="R20" t="str">
            <v xml:space="preserve">   </v>
          </cell>
          <cell r="T20" t="str">
            <v>U0310P1E1</v>
          </cell>
          <cell r="U20" t="str">
            <v>U031608</v>
          </cell>
          <cell r="V20" t="str">
            <v>Box 1 - position 74</v>
          </cell>
          <cell r="W20" t="str">
            <v>TOP10</v>
          </cell>
          <cell r="X20" t="str">
            <v>37C</v>
          </cell>
          <cell r="Y20" t="str">
            <v>E. coli</v>
          </cell>
        </row>
        <row r="21">
          <cell r="A21" t="str">
            <v>XV2620119</v>
          </cell>
          <cell r="B21" t="str">
            <v>UMANI036-14</v>
          </cell>
          <cell r="C21">
            <v>46064</v>
          </cell>
          <cell r="D21">
            <v>1009543532</v>
          </cell>
          <cell r="E21" t="str">
            <v>Felis-catus-MMP8-mycHis6</v>
          </cell>
          <cell r="F21" t="str">
            <v>pMS119EH-AMP</v>
          </cell>
          <cell r="G21" t="str">
            <v>XbaI/HindIII</v>
          </cell>
          <cell r="H21" t="str">
            <v>Ampicillin</v>
          </cell>
          <cell r="I21">
            <v>1449</v>
          </cell>
          <cell r="J21" t="str">
            <v>2-4ug</v>
          </cell>
          <cell r="K21" t="str">
            <v>Lyophilized + glycerol</v>
          </cell>
          <cell r="L21" t="str">
            <v>12. ALIQUOTED AND LYOPHILIZED</v>
          </cell>
          <cell r="M21" t="str">
            <v>XV2620119</v>
          </cell>
          <cell r="N21" t="str">
            <v>Needs IDT Screening, Screen Result: PASS</v>
          </cell>
          <cell r="O21" t="str">
            <v xml:space="preserve"> </v>
          </cell>
          <cell r="P21"/>
          <cell r="Q21" t="str">
            <v>tctagaAGGAGAAATAATATGGTGCGTTGGGAAAGCCCAGAAGAGGAAACTACCCAGGTCGTGCGCAATTATCTTGAACGCTTTTACCAGTTACCACGTGGTGGCTATCGCAGCGGCCGTAGCAACGGAACTAGCGTCGTTGTCGATAAACTGCGCGAGATGCAGCGCTTCTTCGGTCTGAATGAAACTGGTAAACCTGACGAAGAAACGCTGGAAATGATGCGCAAACCGCGCTGCGGCGTTCCCGATAATGGTGATTTTATGGTCACGCCGGGCAATCCTCGTTGGAAGCATACCAATTTGACCTACCGTATTTTAAAATATACTACCCAGCTGTCGCAGACGAAAGTGGAAACAGTTATTAGTACGGCGTTTCAAATCTGGGCGAACGCGAGCAGCTTAACGTTTACCAAAATTAGCCAAGGCGAAGCCGATATTAATATTGCGTTCTACGAGGGCGACCACGGCGACAATTCACCGTTCGACGGCCCGAACGGTATTTTGGCCCACGCGTTTCAACCGGGCCCGGGGATTGGCGGAGATGCACATTTCGATGAACAGGAGACGTGGACCACCAACTTTGAAAATTACAATCTTTTCTTGGTTGCGGCGCATGAATTTGGTCACTCTCTGGGCTTGTCGCATAGCACGGACCCTGTAGCGCTGATGTATCCGATTTATGCGTTTCGTGAACCTTCGACATACACCCTTCCGCAAGACGATATTAACGGTATCCAAGCCATTTATGGCCCTAGCTCCAATCCTGTGCAACCGACTGGGCCAAGCACACCGACTGCTTGTGACCCCCGTCTGACATTCGATGCAATCGCAACCCTGCGCGGCGAAATTTTGTTTTTTAAGGACCGCTATTTTTGGCGTCGCCATCCCCGTATGCCGGAGGTGGAGTTAAACTTTATCTCACTTTTCTGGCCTGCTTTACCCGATGGCATCCAAGCGGCCTACGAGGACTCCGATAAGGACCTGGTTTTTCTGTTCAAAGGCTCTCAATATTGGGCGCTGAGCGGTTATGATATTGAACCGGGCTATCCAAAAGATATTTCAAACTACGGCTTTCCCTCTTCCGTGCGCGCCATCGACGCCGCGGTTTATTACCGTGGAGAAACCTTTTTTTTTGTGAACAATCAGTTCTGGCGCTACGATAATCAACGCCAATCGATGCAGACCGGCTATCCCAAAAACATTGCGTCTATTTTCCCGGGCATTGAATCACGCGTGGATGCCGTGTTTCAGCAGAACCACGTGTTCCTGTTTTTTATTGGCCCGACCTACTATGCCTTCGACCTGTCAGCACACCGTATTACCCGCGTGCAGCGCAGCAATCGCTGGCTTAACTGCCGCCTCGAGTTCGAGGCTTATGAGCAGAAGTTAATTAGCGAAGAGGACTTAAATAGCGCTGTCGACCATCACCATCACCATCACTAAaagctt</v>
          </cell>
          <cell r="R21" t="str">
            <v xml:space="preserve">   </v>
          </cell>
          <cell r="T21" t="str">
            <v>U0310P1C2</v>
          </cell>
          <cell r="U21" t="str">
            <v>U031609</v>
          </cell>
          <cell r="V21" t="str">
            <v>Box 1 - position 75</v>
          </cell>
          <cell r="W21" t="str">
            <v>TOP10</v>
          </cell>
          <cell r="X21" t="str">
            <v>37C</v>
          </cell>
          <cell r="Y21" t="str">
            <v>E. coli</v>
          </cell>
        </row>
        <row r="22">
          <cell r="A22" t="str">
            <v>XV2620120</v>
          </cell>
          <cell r="B22" t="str">
            <v>UMANI036-15</v>
          </cell>
          <cell r="C22">
            <v>46064</v>
          </cell>
          <cell r="D22">
            <v>1009543532</v>
          </cell>
          <cell r="E22" t="str">
            <v>Canis-lupus-familiaris-MMP8-mycHis6</v>
          </cell>
          <cell r="F22" t="str">
            <v>pMS119EH-AMP</v>
          </cell>
          <cell r="G22" t="str">
            <v>XbaI/HindIII</v>
          </cell>
          <cell r="H22" t="str">
            <v>Ampicillin</v>
          </cell>
          <cell r="I22">
            <v>1443</v>
          </cell>
          <cell r="J22" t="str">
            <v>2-4ug</v>
          </cell>
          <cell r="K22" t="str">
            <v>Lyophilized + glycerol</v>
          </cell>
          <cell r="L22" t="str">
            <v>12. ALIQUOTED AND LYOPHILIZED</v>
          </cell>
          <cell r="M22" t="str">
            <v>XV2620120</v>
          </cell>
          <cell r="N22" t="str">
            <v>Needs IDT Screening, Screen Result: PASS</v>
          </cell>
          <cell r="O22" t="str">
            <v xml:space="preserve"> </v>
          </cell>
          <cell r="P22"/>
          <cell r="Q22" t="str">
            <v>tctagaAGGAGAAATAATATGGGAGAGAGTCCAGAAGAAAAAAGCACGCGCGTTGTTCAGGATTACTTGGAAAAATTCTACCAGTTACCACGCAACCGTTTTCAGAGCGAGCGCAAGAATAGCACCTCGGTGATTATGGAGAAACTGCGTGAAATGCAGCGTTTCTTTGGACTGAACGAAACCGGTAAACCCAACCAGGAAACTTTAGAGATGATGCAGAAACCGCGCTGTGGCGTGCCGGACTCTGGCGACTTTATGCTGACACCGGGCAACCCGAAGTGGAAGCAAACCAATCTGACATACCGCATCATTAAATATACGCCTCAACTTAGCGAAGCTAACGTGGAGACCGCAATCCAAAAGGCATTCCAGGTTTGGTCGAATGTTTCGCCCCTGACCTTTACCAAAGTATCCCAGGGGGAAGTCGATATTCGCATTTCCTTTGTACAGGGCGATCATGGCGACAATTCGCCTTTCGATGGTCCGAATGGGATCCTGGCACACGCATTCCAGCCTGGTCAGGGCATCGGCGGTGATGTCCACTTCGATGCTGAAGAAACGTGGACGGAGAATAGCAGTAATTACAATTTATTCCTGGTGGCCGCGCATGAAGTAGGGCATAGTCTGGGTCTTTCGCACTCAACAGATCCTGGTGCACTGATGTATCCTAACTATGTATTCCACGATCCGTCGACCTACACCCTGCCGCAGGACGATATCAATGGCATTCAGACTATCTACGGCCCATCCTCTAACCCGGTACAACCGACTGGACCATCCACGCCCACCACCTGCGATCCTCGTCTGACGTTTGACGCTATTGCCACCCTGCGTGGTGAAATTCTGTTCTTTAAAGATAAGTATTTTTGGCGTCGCCATCCGCAACTGCCGCGCGTGGAGCTGAACTTCATTAGCCTGTTTTGGCCGTCGCTGCCGGACGGCATCCAGGCAGCATATGAAGATGTGGACAAGGATCTGGTGTTTCTGTTCAAGGGCTCGCAGTATTGGGCTCTGAGCGGTTATGATATTAAACAAGGATACCCGAAAGATATCTCTGATTATAGCTTTCCCAGTTCTGTGCAGGCGATTGACGCTGCAGTTTACTATCGTCGTAAAACTTATTTCTTTGTCAACGATCAGGTGTGGCGCTACGATAACCAACGCCAGTCCATGGAACCGGGCTATCCTAAAAGCATTGCGAGCATTTTTCCGGGCATTGAATCAACAGTTGATGCGGTGTTTCAACAGAATCATGTTTTCTTGTTTTTCTCTGGCCCGCGCTATTACGCCTTTGATTTAGGCGCTCATGAAGTGATTCGCGTAGGCCGTTCTAACCGCTGGCTGAACTGCCGCCTCGAGTTCGAGGCTTATGAGCAGAAGTTAATTAGCGAAGAGGACTTAAATAGCGCTGTCGACCATCACCATCACCATCACTAAaagctt</v>
          </cell>
          <cell r="R22" t="str">
            <v xml:space="preserve">   </v>
          </cell>
          <cell r="T22" t="str">
            <v>U0310P1E2</v>
          </cell>
          <cell r="U22" t="str">
            <v>U031610</v>
          </cell>
          <cell r="V22" t="str">
            <v>Box 1 - position 76</v>
          </cell>
          <cell r="W22" t="str">
            <v>TOP10</v>
          </cell>
          <cell r="X22" t="str">
            <v>37C</v>
          </cell>
          <cell r="Y22" t="str">
            <v>E. coli</v>
          </cell>
        </row>
        <row r="23">
          <cell r="A23" t="str">
            <v>XV2620121</v>
          </cell>
          <cell r="B23" t="str">
            <v>UMANI036-16</v>
          </cell>
          <cell r="C23">
            <v>46064</v>
          </cell>
          <cell r="D23">
            <v>1009543532</v>
          </cell>
          <cell r="E23" t="str">
            <v>Human-MMP9-mycHis6</v>
          </cell>
          <cell r="F23" t="str">
            <v>pMS119EH-AMP</v>
          </cell>
          <cell r="G23" t="str">
            <v>XbaI/HindIII</v>
          </cell>
          <cell r="H23" t="str">
            <v>Ampicillin</v>
          </cell>
          <cell r="I23">
            <v>1914</v>
          </cell>
          <cell r="J23" t="str">
            <v>2-4ug</v>
          </cell>
          <cell r="K23" t="str">
            <v>Lyophilized + glycerol</v>
          </cell>
          <cell r="L23" t="str">
            <v>12. ALIQUOTED AND LYOPHILIZED</v>
          </cell>
          <cell r="M23" t="str">
            <v>XV2620121</v>
          </cell>
          <cell r="N23" t="str">
            <v>Needs IDT Screening, Screen Result: PASS</v>
          </cell>
          <cell r="O23" t="str">
            <v xml:space="preserve"> </v>
          </cell>
          <cell r="P23"/>
          <cell r="Q23" t="str">
            <v>tctagaAGGAGAAATAATATGTTTCAGACATTTGAAGGGGACCTTAAGTGGCATCATCATAACATCACCTACTGGATCCAAAACTACAGCGAAGACCTGCCGCGCGCAGTCATTGATGACGCATTCGCGCGTGCGTTCGCTCTTTGGTCCGCAGTCACCCCGCTGACCTTTACGCGCGTGTATTCGCGCGATGCGGACATCGTCATTCAGTTTGGAGTGGCGGAACACGGGGATGGGTACCCGTTCGATGGCAAAGATGGACTGCTGGCCCATGCATTCCCTCCGGGCCCGGGCATTCAGGGGGATGCCCATTTCGACGACGACGAACTGTGGTCTTTAGGTAAGGGTGTGGTAGTACCAACCCGTTTCGGAAATGCCGACGGCGCAGCATGTCATTTCCCGTTCATTTTTGAAGGTCGTTCCTATTCTGCGTGTACCACCGACGGTCGCAGCGATGGTCTGCCGTGGTGTAGCACCACCGCGAACTACGATACTGACGATCGTTTCGGTTTTTGCCCGAGCGAACGTCTTTACACCCAGGATGGTAACGCAGATGGCAAACCGTGCCAGTTTCCTTTTATTTTTCAAGGCCAGTCGTACAGCGCCTGTACCACAGACGGCCGCAGCGATGGATATCGCTGGTGCGCCACAACAGCTAATTACGACCGTGATAAACTGTTTGGATTCTGCCCGACGCGCGCCGATTCCACGGTAATGGGTGGCAATAGCGCGGGTGAATTATGCGTGTTCCCCTTTACCTTCCTGGGCAAAGAATATTCGACTTGCACCAGCGAGGGCCGCGGTGACGGTCGCCTGTGGTGTGCAACTACCTCCAATTTCGATTCTGATAAAAAATGGGGCTTTTGCCCAGATCAAGGCTACAGTCTGTTTCTGGTGGCGGCTCATGAATTCGGGCATGCGCTGGGCTTAGATCACAGTTCGGTGCCAGAAGCGTTAATGTACCCTATGTATCGTTTTACGGAGGGCCCACCTCTTCATAAAGATGATGTGAATGGCATCCGTCATTTGTATGGCCCGCGCCCAGAGCCTGAGCCTCGTCCGCCTACGACCACAACGCCTCAACCTACGGCACCCCCGACAGTTTGCCCGACCGGGCCCCCAACAGTACATCCGAGTGAACGTCCGACAGCTGGCCCGACGGGCCCTCCTAGTGCCGGTCCGACCGGCCCACCGACCGCGGGCCCTTCAACGGCCACTACTGTGCCGCTTTCGCCAGTGGATGACGCCTGTAATGTTAATATCTTCGACGCCATCGCCGAAATCGGTAATCAGCTGTATTTATTTAAGGATGGCAAATATTGGCGTTTCTCTGAAGGACGCGGCAGCCGCCCGCAGGGTCCGTTTTTAATCGCGGACAAATGGCCGGCGTTACCTCGCAAATTAGATAGCGTGTTTGAAGAACGTCTGTCCAAAAAACTTTTTTTCTTTAGCGGCCGCCAGGTATGGGTTTATACGGGTGCCAGTGTGCTGGGCCCGCGTCGCCTTGATAAACTGGGCCTTGGCGCTGATGTTGCACAGGTGACCGGAGCCCTGCGCAGTGGGCGTGGTAAGATGTTGTTGTTCTCGGGCCGTCGTTTATGGCGTTTTGACGTGAAAGCGCAAATGGTAGATCCACGCTCGGCTTCTGAGGTGGATCGTATGTTTCCGGGTGTTCCCCTGGACACGCACGACGTATTCCAATATCGCGAAAAGGCCTACTTCTGTCAAGATCGCTTTTATTGGCGTGTGTCCTCTCGCTCCGAATTGAACCAGGTGGATCAGGTTGGGTACGTTACTTACGACATTCTGCAGTGTCCGGAAGATCTCGAGTTCGAGGCTTATGAGCAGAAGTTAATTAGCGAAGAGGACTTAAATAGCGCTGTCGACCATCACCATCACCATCACTAAaagctt</v>
          </cell>
          <cell r="R23" t="str">
            <v xml:space="preserve">   </v>
          </cell>
          <cell r="T23" t="str">
            <v>U0317P1D10</v>
          </cell>
          <cell r="U23" t="str">
            <v>U040901</v>
          </cell>
          <cell r="V23" t="str">
            <v>Box 1 - position 77</v>
          </cell>
          <cell r="W23" t="str">
            <v>TOP10</v>
          </cell>
          <cell r="X23" t="str">
            <v>37C</v>
          </cell>
          <cell r="Y23" t="str">
            <v>E. coli</v>
          </cell>
        </row>
        <row r="24">
          <cell r="A24" t="str">
            <v>XV2620122</v>
          </cell>
          <cell r="B24" t="str">
            <v>UMANI036-17</v>
          </cell>
          <cell r="C24">
            <v>46064</v>
          </cell>
          <cell r="D24">
            <v>1009543532</v>
          </cell>
          <cell r="E24" t="str">
            <v>Felis-catus-MMP9-mycHis6</v>
          </cell>
          <cell r="F24" t="str">
            <v>pMS119EH-AMP</v>
          </cell>
          <cell r="G24" t="str">
            <v>XbaI/EcoRI</v>
          </cell>
          <cell r="H24" t="str">
            <v>Ampicillin</v>
          </cell>
          <cell r="I24">
            <v>1908</v>
          </cell>
          <cell r="J24" t="str">
            <v>2-4ug</v>
          </cell>
          <cell r="K24" t="str">
            <v>Lyophilized + glycerol</v>
          </cell>
          <cell r="L24" t="str">
            <v>12. ALIQUOTED AND LYOPHILIZED</v>
          </cell>
          <cell r="M24" t="str">
            <v>XV2620122</v>
          </cell>
          <cell r="N24" t="str">
            <v>Needs IDT Screening, Screen Result: PASS</v>
          </cell>
          <cell r="O24" t="str">
            <v xml:space="preserve"> </v>
          </cell>
          <cell r="P24"/>
          <cell r="Q24" t="str">
            <v>gaattcAGGAGAAATAATATGTTCCAGACATTCGAGGGGGACCTTAAATGGCACCATCATAATATTACGTACTGGATCCAGAATTATTCCGAGGATCTGCCGCGCGACGTTATTGATGACGCTTTCGCCCGCGCCTTCGCCGCCTGGTCAGCCGTAACCCCGTTAACTTTCACCCGCGTGTATGGCCTGGAGGCCGACATCGTTATCCAGTTTGGTGTGCGTGAACATGGAGATGGCTACCCATTTGACGGCAAAGATGGCCTGTTGGCGCACGCTTTCCCGCCTGGTCCGGGAATCCAAGGCGATGCCCATTTTGACGATGAAGAACTGTGGTCACTTGGTAAAGGCGTGGTGGTGCCGACGTACTTCGGTAATGCGGGTGGAGCAGCCTGCCACTTTCCGTTTACTTTTGAAGGGCGTTCTTACAGCGCCTGCACAACCGATGGCCGTAGCGATGATATGCTGTGGTGCTCCACCACCGCGGACTACGATACTGATCGCCGCTTCGGTTTTTGTCCGAGTGAACGCTTGTATACCCAAGATGGCAATGGCGAAGGCAAACCTTGCGTGTTCCCTTTTACATTTGAGGGGCGTAGTTATTCTGCATGCACGACCGAAGGCCGTAGCGACGGTTACCGTTGGTGCGCGACCACCGCCAATTATGACCAAGATAAGCTTTATGGCTTTTGCCCGACGCGCGCTGATTCAACCGTGACAGGCGGTAATAGCGCGGGAGAGTTATGCGTGTTCCCGTTTATTTTCCTGGGAAAAGAATATTCAACATGTACCCGCGAAGGCCGTGGTGATGGTCACCTGTGGTGCGCAACGACATCAAACTTTGATCGCGATAAAAAATGGGGTTTCTGCCCAGACCAGGGCTATTCACTGTTCCTTGTGGCGGCGCACGAGTTTGGTCATGCACTGGGCCTGGATCATAGTAGCGTTCCGGAGGCGCTGATGTATCCGATGTACTCTTTCACTGAGGGTCCTCCGCTTCATGAAGATGATGTGAAAGGTATCCAGCATTTGTACGGCCCGCGTCCTGAACCCGAGCCGCGTCCGCCAACGACGACCACACCCGAAAGCCAACCGACCGTGTGTACGACAGGCCCGCCCACCACGCGTCCTCCAGAACGTCCTACCGCGGGCCCGACTGGGCCGCCCAGTGCAGGTCCGACCGGTCCACCTACTGCGGGCCCCTCAGAGGCCCCGACGGTGTCTTTAGATCCCGCGGAAGATGTTTGTAACGTGAATGTTTTTGATGCTGTGGCGGAAATTGGTAATTTACTGCACTTCTTTAAAGACGGGAAATATTGGCAGTTCTCTGAAAATCCGGGCCGTCGTGTTCGTGGCCCGTTCCTGATTACTAACAAATGGCCGGCGCTGCCGCGCAAACTGGACAGCGCGTTTGAGGATCCGCTGACTAAAAAAACATTTTTTTTTTCAGGCCGTCAGGTGTGGGTGTACACGGGCACCTCGGTCCTGGGACCGCGCCGTTTAGACAAGTTGGGCCTGGGGCCGGAGGTGGCCCAGATTACCGGTGCGCTGCCCCGTTCAGGGGGTAAGGTTCTTCTGTTTTCCCGTCAACGTTTTTGGCGTTTTGATGTGAAAACCCAAACTGTAGATGCGAAGTCTGCGGGACAGGTGGAGCAAATGTTTCCCGGCGTGCCACTGAATACCCACGATATTTTCCAGTTCCAGGAAAAAGCGTACTTTTGTCAGGATCGCTTTTACTGGCGCGTGAGCTCCCGCAACGAAGTGAATCAAGTGGATCAGGTGGGTTATGTAACCTTTGATCTTCTGCAGTGTCCGGAAGACCTCGAGTTCGAGGCTTATGAGCAGAAGTTAATTAGCGAAGAGGACTTAAATAGCGCTGTCGACCATCACCATCACCATCACTAAtctaga</v>
          </cell>
          <cell r="R24" t="str">
            <v xml:space="preserve">   </v>
          </cell>
          <cell r="T24" t="str">
            <v>U0317P1G10</v>
          </cell>
          <cell r="U24" t="str">
            <v>U032404</v>
          </cell>
          <cell r="V24" t="str">
            <v>Box 1 - position 78</v>
          </cell>
          <cell r="W24" t="str">
            <v>TOP10</v>
          </cell>
          <cell r="X24" t="str">
            <v>37C</v>
          </cell>
          <cell r="Y24" t="str">
            <v>E. coli</v>
          </cell>
        </row>
        <row r="25">
          <cell r="A25" t="str">
            <v>XV2620123</v>
          </cell>
          <cell r="B25" t="str">
            <v>UMANI036-18</v>
          </cell>
          <cell r="C25">
            <v>46064</v>
          </cell>
          <cell r="D25">
            <v>1009543532</v>
          </cell>
          <cell r="E25" t="str">
            <v>Canis-lupus-familiaris-MMP9-mycHis6</v>
          </cell>
          <cell r="F25" t="str">
            <v>pMS119EH-AMP</v>
          </cell>
          <cell r="G25" t="str">
            <v>XbaI/HindIII</v>
          </cell>
          <cell r="H25" t="str">
            <v>Ampicillin</v>
          </cell>
          <cell r="I25">
            <v>1905</v>
          </cell>
          <cell r="J25" t="str">
            <v>2-4ug</v>
          </cell>
          <cell r="K25" t="str">
            <v>Lyophilized + glycerol</v>
          </cell>
          <cell r="L25" t="str">
            <v>12. ALIQUOTED AND LYOPHILIZED</v>
          </cell>
          <cell r="M25" t="str">
            <v>XV2620123</v>
          </cell>
          <cell r="N25" t="str">
            <v>Needs IDT Screening, Screen Result: PASS</v>
          </cell>
          <cell r="O25" t="str">
            <v xml:space="preserve"> </v>
          </cell>
          <cell r="P25"/>
          <cell r="Q25" t="str">
            <v>tctagaAGGAGAAATAATATGTTCCAGACCTTTGAGGGTGACTTAAAATGGCATCATAACGATATTACCTATTGGATCCAGAACTATAGCGAGGACTTACCACGCGATGTTATTGACGACGCGTTCGCGCGCGCATTTGCGGTTTGGAGTGCCGTAACCCCGCTTACCTTCACGCGCGTTTATGGTCCAGAGGCCGACATTATCATTCAGTTCGGAGTCCGTGAACACGGTGATGGCTACCCGTTTGACGGCAAAAACGGCCTGCTGGCACATGCATTTCCGCCTGGACCGGGCATCCAAGGCGATGCGCACTTCGACGATGAGGAACTGTGGACCCTGGGCAAAGGAGTCGTCGTTCCGACCCACTTCGGCAATGCTGACGGCGCACCGTGCCATTTCCCGTTCACCTTTGAGGGCCGTAGCTATAGTGCATGCACAACCGACGGCCGCTCGGACGATACGCCGTGGTGCAGCACCACAGCAGATTATGATACCGATCGTCGCTTCGGATTCTGTCCGTCCGAAAAGTTGTATACCCAAGATGGCAATGGTGACGGAAAACCGTGTGTGTTCCCGTTTACGTTTGAAGGCCGCAGCTATAGCACCTGTACTACGGATGGACGCAGCGATGGGTACCGCTGGTGCTCAACTACCGGTGACTACGATCAGGATAAATTATACGGTTTCTGCCCGACACGCGTAGATTCGGCTGTTACCGGTGGTAATTCAGCGGGTGAGCCTTGCGTTTTTCCGTTCATTTTTCTGGGCAAACAGTATAGCACGTGCACACGCGAAGGCCGTGGAGACGGTCATTTATGGTGTGCCACTACCTCCAATTTTGATCGTGATAAAAAATGGGGGTTTTGTCCGGACCAGGGATACTCGCTTTTTCTGGTTGCTGCACACGAGTTTGGCCATGCCTTGGGTTTGGATCACAGCAGTGTGCCGGAAGCGCTGATGTATCCGATGTACAGCTTCACTGAAGGGCCGCCGTTACATGAAGATGATGTCCGCGGCATTCAGCACCTGTACGGTCCGCGTCCGGAACCGGAGCCACAACCGCCAACGGCCCCACCCACCGCACCGCCAACCGTGTGTGCCACAGGCCCGCCAACCACACGCCCCTCGGAACGTCCGACTGCGGGTCCGACTGGCCCTCCTGCTGCGGGTCCTACAGGCCCACCGACCGCGGGTCCGTCTGAAGCACCAACTGTGCCGGTCGACCCGGCCGAAGACATTTGCAAAGTGAATATTTTTGATGCGATTGCCGAGATCCGCAACTACTTGCATTTCTTTAAAGAAGGCAAATATTGGCGTTTCTCTAAAGGGAAAGGACGTCGCGTGCAGGGCCCGTTCTTGATTACCGATACCTGGCCGGCCTTGCCGCGTAAATTAGATTCAGCCTTCGAAGATGGCTTGACGAAGAAAACCTTCTTCTTTAGCGGCCGCCAAGTGTGGGTTTATACAGGCACCTCCGTAGTCGGCCCGCGCCGCTTAGACAAACTTGGCCTGGGTCCGGAAGTGACCCAAGTCACCGGCGCTTTGCCGCAGGGCGGGGGCAAGGTCCTGCTGTTTTCCCGCCAACGCTTCTGGAGCTTTGACGTTAAGACGCAGACTGTAGATCCACGCAGTGCCGGTTCTGTTGAACAGATGTATCCGGGCGTTCCTCTGAACACGCATGATATTTTCCAGTATCAGGAAAAAGCGTACTTTTGTCAGGATCGTTTTTACTGGCGTGTTAACAGTCGCAATGAGGTGAATCAGGTGGACGAGGTTGGGTATGTTACCTTCGATATTCTGCAGTGTCCGGAAGATCTCGAGTTCGAGGCTTATGAGCAGAAGTTAATTAGCGAAGAGGACTTAAATAGCGCTGTCGACCATCACCATCACCATCACTAAaagctt</v>
          </cell>
          <cell r="R25" t="str">
            <v xml:space="preserve">   </v>
          </cell>
          <cell r="T25" t="str">
            <v>U0310P1D3</v>
          </cell>
          <cell r="U25" t="str">
            <v>U031611</v>
          </cell>
          <cell r="V25" t="str">
            <v>Box 1 - position 79</v>
          </cell>
          <cell r="W25" t="str">
            <v>TOP10</v>
          </cell>
          <cell r="X25" t="str">
            <v>37C</v>
          </cell>
          <cell r="Y25" t="str">
            <v>E. coli</v>
          </cell>
        </row>
        <row r="26">
          <cell r="A26" t="str">
            <v>XP1620132</v>
          </cell>
          <cell r="B26" t="str">
            <v>BAY304-01</v>
          </cell>
          <cell r="C26">
            <v>46070</v>
          </cell>
          <cell r="D26">
            <v>1009568191</v>
          </cell>
          <cell r="E26" t="str">
            <v>Langerin-Ecto-Ecto</v>
          </cell>
          <cell r="F26" t="str">
            <v>pUC57-Amp</v>
          </cell>
          <cell r="G26" t="str">
            <v>Blunt End</v>
          </cell>
          <cell r="H26" t="str">
            <v>Ampicillin</v>
          </cell>
          <cell r="I26">
            <v>830</v>
          </cell>
          <cell r="J26" t="str">
            <v>2-4ug</v>
          </cell>
          <cell r="K26" t="str">
            <v>Lyophilized</v>
          </cell>
          <cell r="L26" t="str">
            <v>12. ALIQUOTED AND LYOPHILIZED</v>
          </cell>
          <cell r="M26" t="str">
            <v>XP1620132</v>
          </cell>
          <cell r="N26" t="str">
            <v>Needs IDT Screening, Screen Result: PASS</v>
          </cell>
          <cell r="O26" t="str">
            <v xml:space="preserve"> </v>
          </cell>
          <cell r="P26"/>
          <cell r="Q26" t="str">
            <v>gctagcGTGTTCTACCCCAGACTGATGGACAAGATCCTGGACGTGAAGAGCGACGCCCAGATGCTGGGCGGCAGGGTGGACAACATCAGCACCCTGGGCAGCGTGCTGGAGAAGGACAGGGGCAGGGTGGAGGAGGCCGAGGTGCAGATGAGAATCCTGAACACCAGCCTGAGCAGGGTGAGATCCCAGATCCTGAGCCTGAGGATCAGCATGGAGCAGGCCAGCGCCCAGATCAGCGTGCTGACCAGGAACTGGGAGGAGGTGGACTCCCTGAGCAGCAAGATCCCCGAGCTGCAGAGGGACCTGGACAAGAGCAGCACCCTGAACGCCAAGGTGCGGGGCCTGCAGAACAGCCTGGAGAACGTGAACAAGCTGCTGCAGAGACAGAGCGACATCCTGGAGATGATGTCCCAGGGCTGGAAGTACTTCGGCGGCAACTTCTACCACTTCAGCCACACCCCCAAGACCTGGTACTCCGCCGAGCAGACCTGCATCAGCAGGGACGCCCACCTGACCAGCGTGACCAGCGAGTCCGAGCAGGAGTTCCTGTACAAGAGCGCCGACGGCTTCCCCTTCTGGATCGGCCTGACCAAGGCTGGCACCGAGGGCGACTGGTACTGGGTGGACGGCACCAGCTTCAACAAGAAGCAGAGCGAGAGGTTCTGGATCCCCGGCGAGCCTAACAACATCGGCAACAACGAGCACTGCGGCAACGTGAGGGTGTCCAGCCTGCAGTCCTGGAACGACCTGAGCTGCGACAACAAGTTCCCCTTCATCTGCAAGAGACCCTACATCCAGACCGTGCCCGAGCCCGAGGCCtgagcggccgc</v>
          </cell>
          <cell r="R26" t="str">
            <v xml:space="preserve"> </v>
          </cell>
          <cell r="T26" t="str">
            <v>U0313P1H8</v>
          </cell>
          <cell r="U26" t="str">
            <v>U031704</v>
          </cell>
          <cell r="V26" t="str">
            <v>Box 1 - position 8</v>
          </cell>
          <cell r="W26" t="str">
            <v>TOP10</v>
          </cell>
          <cell r="X26" t="str">
            <v>37C</v>
          </cell>
          <cell r="Y26" t="str">
            <v>E. coli</v>
          </cell>
        </row>
        <row r="27">
          <cell r="A27" t="str">
            <v>XP1620134</v>
          </cell>
          <cell r="B27" t="str">
            <v>BAY304-03</v>
          </cell>
          <cell r="C27">
            <v>46070</v>
          </cell>
          <cell r="D27">
            <v>1009568191</v>
          </cell>
          <cell r="E27" t="str">
            <v>Lox-Ecto</v>
          </cell>
          <cell r="F27" t="str">
            <v>pUC57-Amp</v>
          </cell>
          <cell r="G27" t="str">
            <v>Blunt End</v>
          </cell>
          <cell r="H27" t="str">
            <v>Ampicillin</v>
          </cell>
          <cell r="I27">
            <v>680</v>
          </cell>
          <cell r="J27" t="str">
            <v>2-4ug</v>
          </cell>
          <cell r="K27" t="str">
            <v>Lyophilized</v>
          </cell>
          <cell r="L27" t="str">
            <v>8. Sequencing Gene: First Round</v>
          </cell>
          <cell r="M27" t="str">
            <v>XP1620134</v>
          </cell>
          <cell r="N27" t="str">
            <v>Needs IDT Screening, Screen Result: PASS</v>
          </cell>
          <cell r="O27" t="str">
            <v xml:space="preserve"> </v>
          </cell>
          <cell r="P27"/>
          <cell r="Q27" t="str">
            <v>gctagcGCCGCCGACTTCAGCGTGCTGCAGGTGACCGAGCTGCTGAAGAAGTACCAGGCCAACCTGACCCACCAGGAGCACATCCTGGAGGAGCAGATCCTGGCCCAGCAGCAGGCCGCCAACGCCTCCCAGAAGAAGCTGAAGGAGACCATCGACACCCTGACCTGGGAGCTGAACGAAAAGACCAAGGAGCAGGAGGAGCTGCTGCAGCAGAACCTGAACCTGCAGAAGGCCCTGCAGAGAACCGCCAACTTCAGCGGCCCCTGCCCCCAGAACTGGCTGTGGCACAAGGAGCACTGCTACCTGTTCAGCAGCGCCCAGAGCAGCTGGGCCAAGAGCCAGGAGAACTGCCTGAGCCTGGACGCCCAGCTGCTGCAGATCAACAGCATCGACGACCTGAGCTTCATCCTGCAGGCCACCTCCCACAGCACCAGCCCCTTCTGGATGGGCCTGCACAGGAAGAAGAAGAACGACCCCTGGCTGTGGGAGAACGGCAGCCCCCTGAGGCCCCACCTGTTCAGAATCAGGGGCATCCCCAGCCAGACCCACCCCTCCGGCACCTGCGTGTACATCCAGGGCGGCGGCATCTTCGCCGACCACTGCATCCTGACCGCCTTCAGCATCTGCGAGAAGCAGGCTGGCCTGAGCCCCACCGAGGAGCCCGAGGCCtgagcggccgc</v>
          </cell>
          <cell r="R27" t="str">
            <v xml:space="preserve"> </v>
          </cell>
        </row>
        <row r="28">
          <cell r="A28" t="str">
            <v>XV1630163</v>
          </cell>
          <cell r="B28" t="str">
            <v>QU129-01</v>
          </cell>
          <cell r="C28">
            <v>46098</v>
          </cell>
          <cell r="D28">
            <v>1009741022</v>
          </cell>
          <cell r="E28" t="str">
            <v>Northern Territory NA</v>
          </cell>
          <cell r="F28" t="str">
            <v>pcDNA3.1 (+)</v>
          </cell>
          <cell r="G28" t="str">
            <v>EcoRI/XbaI</v>
          </cell>
          <cell r="H28" t="str">
            <v>Ampicillin</v>
          </cell>
          <cell r="I28">
            <v>1467</v>
          </cell>
          <cell r="J28" t="str">
            <v>2-4ug</v>
          </cell>
          <cell r="K28" t="str">
            <v>Lyophilized</v>
          </cell>
          <cell r="L28" t="str">
            <v>6. Vector Insertion</v>
          </cell>
          <cell r="M28" t="str">
            <v>XV1630163</v>
          </cell>
          <cell r="N28" t="str">
            <v>Needs IDT Screening, Screen Result: PASS</v>
          </cell>
          <cell r="O28" t="str">
            <v xml:space="preserve"> </v>
          </cell>
          <cell r="P28"/>
          <cell r="Q28" t="str">
            <v>agcaaaagcaggagtgaaaatgaatccaaatcaaaagataataacaattggctctgtctctctcaccattgcaacagtatgcttcctcatgcagactgccatcctggtaaccactgtaacattgcattttaagcaatatgagtgcgactcccctgcgagcaaccaagtaatgccgtgtgaaccaataataatagaaaggaacataacagagatagtgtatttgaataacaccaccatagagaaagagatatgccccaaagtagtggaatacagaaattggtcaaagccgcaatgtcaaattacaggatttgcacctttttctaaggacaattcaatccggctttctgctggtggggacatttgggtgacgagagaaccttatgtgtcatgcgatcatggcaagtgttatcaatttgcactcgggcaggggaccacactagacaacaaacattcaaatgacacaatacatgatagaatccctcatcgaaccctattaatgaatgagttgggtgttccatttcatttaggaaccaggcaagtgtgtatagcatggtccagctcaagttgtcacgatggaaaagcatggctgcatgtttgtatcactggggatgacaaaaatgcaactgctagcttcatttatgacgggaggcttgtggacagtattggttcatggtctcaaaatatcctcagaacccaggagtcggaatgcgtttgtatcaatgggacttgcacagtagtaatgactgatggaagtgcttcaggaagagccgataccagaatactattcattgaagaggggaaaattgtccatattagcccattgtcaggaagtgctcagcatgtagaagagtgttcctgttatcctagatatcctggcgtcagatgtatctgcagagacaactggaaaggctctaataggcccgtcgtagacataaatatggaagattatagcattgattccagttatgtgtgctcagggcttgttggcgacacacctagaaacgacgacagatctagcaatagcaattgcaggaatcctaacaatgagagagggaatcaaggagtgaaaggctgggcctttgacaatggagatgacgtgtggatgggaagaacgatcagcaaggatttacgctcaggttatgaaactttcaaagtcattggtggttggtccacacctaattccaaatcgcagatcaatagacaagtcatagttgacagcgataatcggtcaggttactctggtattttctctgttgagggcaaaagctgcatcaataggtgcttttatgtggagttgataaggggaaggaaacaggaggctagagtgtggtggacctcaaacagtattgttgtgttttgtggcacttcaggtacctatggaacaggctcatggcctgatggggcgaacatcaatttcatgcctatataagctttcgcaattttagaaaaaaactccttgtttctact</v>
          </cell>
          <cell r="R28" t="str">
            <v xml:space="preserve"> </v>
          </cell>
          <cell r="V28" t="str">
            <v>Box 1 - position10</v>
          </cell>
        </row>
        <row r="29">
          <cell r="A29" t="str">
            <v>XV1630164</v>
          </cell>
          <cell r="B29" t="str">
            <v>QU129-02</v>
          </cell>
          <cell r="C29">
            <v>46098</v>
          </cell>
          <cell r="D29">
            <v>1009741022</v>
          </cell>
          <cell r="E29" t="str">
            <v>Northern Territory HA</v>
          </cell>
          <cell r="F29" t="str">
            <v>pcDNA3.1 (+)</v>
          </cell>
          <cell r="G29" t="str">
            <v>NheI/XbaI</v>
          </cell>
          <cell r="H29" t="str">
            <v>Ampicillin</v>
          </cell>
          <cell r="I29">
            <v>1765</v>
          </cell>
          <cell r="J29" t="str">
            <v>2-4ug</v>
          </cell>
          <cell r="K29" t="str">
            <v>Lyophilized</v>
          </cell>
          <cell r="L29" t="str">
            <v>12. ALIQUOTED AND LYOPHILIZED</v>
          </cell>
          <cell r="M29" t="str">
            <v>XV1630164</v>
          </cell>
          <cell r="N29" t="str">
            <v>Needs IDT Screening, Screen Result: PASS</v>
          </cell>
          <cell r="P29"/>
          <cell r="Q29" t="str">
            <v>AGCAAAAGCAGGGGATAATTCTATTAATCATGAAGACCATCATTGCTTTGAGCTACATTTTCTGTCTGGCTCTCGGCCAAGACCTTCCAGGAAATGACAACAACACAGCAACGCTGTGCCTGGGACATCATGCGGTGCCAAACGGAACACTAGTGAAAACAATCACAGATGATCAGATTGAAGTGACTAATGCTACTGAGCTAGTTCAGAGCTCCTCAACGGGGAAAATATGCAACAATCCTCATCGAATCCTTGATGGAATAGACTGCACACTGATAGATGCTCTATTGGGGGACCCTCATTGTGATGTTTTTCAAAATGAGACATGGGACCTTTTCGTTGAACGCAGCAAAGCTTTCAGCAACTGTTACCCTTATGATGTGCCAGATTATGCCTCCCTTAGGTCACTAGTTGCCTCGTCAGGCACTCTGGAGTTTATCACTGAGGGTTTCACTTGGACTGGGGTCACTCAGAATGGGGGAAGCAATGCTTGCAAAAGGGGACCTGATAGCGGTTTTTTCAGTAGACTGAACTGGTTGACCAAATCAGGAAGCACATATCCAGTGCTTAACGTGACTATGCCAAACAATGACAATTTTGACAAACTATACATTTGGGGGGTTCACCACCCGAGCACGAACCAAGAACAAACCAGCCTGTATGTTCAAGCATCAGGGAGAGTCACAGTCTCTACCAGGAGAAGCCAGCAAACTATAATCCCCAATATCGGGTCCAGACCCTGGGTAAGGGGTCAGTCTAGTAGAATAAGCATCTATTGGACAATAGTTAAGCCGGGAGACGTACTGGTAATTAATAGTAATGGGAACCTAATCGCTCCTCGGGGTTATTTCAAAATGCGCACTGGGAAAAGCTCAATAATGAGGTCAGATGCACCTATTGATACCTGTATTTCTGAATGCATCACTCCAAATGGAAGCATTCCCAATGACAAGCCCTTTCAAAACGTAAACAAGATCACATATGGAGCATGCCCCAAGTATGTTAAGCAAAACACCCTGAAGTTGGCAACAGGGATGCGGAATGTACCAGAGAAACAAACTAGAGGCCTATTCGGCGCAATAGCAGGTTTCATAGAAAATGGTTGGGAGGGAATGATAGACGGTTGGTACGGTTTCAGGCATCAAAATTCTGAGGGCACAGGACAAGCAGCAGATCTTAAAAGCACTCAAGCAGCCATCGACCAAATCAATGGGAAATTGAACAGGGTAATCGAGAAGACGAACGAGAAATTCCATCAAATCGAAAAGGAATTCTCAGAAGTAGAAGGGAGAATTCAGGACCTCGAGAAATACGTTGAAGACACTAAAATAGATCTCTGGTCTTACAATGCGGAGCTTCTTGTCGCTCTGGAGAATCAACATACAATTGACCTGACTGACTCGGAAATGAACAAGCTGTTTGAAAAAACAAGGAGGCAACTGAGGGAAAATGCTGAAGACATGGGCAATGGTTGCTTCAAAATATACCACAAATGTGACAACGCTTGCATAGAGTCAATCAGAAATGGGACTTATGACCATGATGTATACAGAGACGAAGCATTAAACAACCGGTTTCAGATCAAAGGTGTTGAACTGAAGTCTGGATACAAAGACTGGATCCTGTGGATTTCCTTTGCCATATCATGCTTTTTGCTTTGTGTAGTTTTGCTGGGGTTCATCATGTGGGCCTGCCAGAGAGGCAACATTAGGTGCAACATTTGCATTTGAGTGTATTAGTAATTAAAAACACCCTTGTTTCTACT</v>
          </cell>
          <cell r="R29" t="str">
            <v xml:space="preserve">  </v>
          </cell>
          <cell r="T29" t="str">
            <v>U0327P1E1</v>
          </cell>
          <cell r="U29" t="str">
            <v>U040905</v>
          </cell>
          <cell r="V29" t="str">
            <v>Box 1 - position11</v>
          </cell>
          <cell r="W29" t="str">
            <v>TOP10</v>
          </cell>
          <cell r="X29" t="str">
            <v>37C</v>
          </cell>
          <cell r="Y29" t="str">
            <v>E. coli</v>
          </cell>
        </row>
        <row r="30">
          <cell r="A30" t="str">
            <v>XV1630165</v>
          </cell>
          <cell r="B30" t="str">
            <v>QU129-03</v>
          </cell>
          <cell r="C30">
            <v>46098</v>
          </cell>
          <cell r="D30">
            <v>1009741022</v>
          </cell>
          <cell r="E30" t="str">
            <v>Hong Kong H3N2 NA</v>
          </cell>
          <cell r="F30" t="str">
            <v>pcDNA3.1 (+)</v>
          </cell>
          <cell r="G30" t="str">
            <v>EcoRI/XbaI</v>
          </cell>
          <cell r="H30" t="str">
            <v>Ampicillin</v>
          </cell>
          <cell r="I30">
            <v>1437</v>
          </cell>
          <cell r="J30" t="str">
            <v>2-4ug</v>
          </cell>
          <cell r="K30" t="str">
            <v>Lyophilized</v>
          </cell>
          <cell r="L30" t="str">
            <v>8. Sequencing Gene: First Round</v>
          </cell>
          <cell r="M30" t="str">
            <v>XV1630165</v>
          </cell>
          <cell r="N30" t="str">
            <v>Needs IDT Screening, Screen Result: PASS</v>
          </cell>
          <cell r="P30"/>
          <cell r="Q30" t="str">
            <v>AAAATGAATCCAAATCAAAAGATAATAACAATTGGCTCTGTCTCTCTCACCATTGCAACAGTATGCTTCCTCATGCAGATTGCCATCCTGGTAACTACTGTAACATTGCATTTTAAGCAATATGAGTGCGACTCCCCCGCGAGCAACCAAGTAATGCCGTGTGAACCAATAATAATAGAAAGGAACATAACAGAGATAGTGTATTTGAATAACACCACCATAGAGAAAGAGATATGCCCCAAAGTAGTGGAATACAGAAATTGGTCAAAGCCGCAATGTCAAATTACAGGATTTGCACCTTTTTCTAAGGACAATTCAATCCGGCTTTCTGCTGGTGGGGACATTTGGGTGACGAGAGAACCTTATGTGTCATGCGATCATGGCAAGTGTTATCAATTTGCACTCGGGCAGGGGACCACACTAGACAACAAACATTCAAATGACACAATACATGATAGAATCCCTCATCGAACCCTATTAATGAATGAGTTGGGTGTTCCATTTCATTTAGGAACCAGGCAAGTGTGTATAGCATGGTCCAGCTCAAGTTGTCACGATGGAAAAGCATGGCTGCATGTTTGTATCACTGGGGATGACAAAAATGCAACTGCTAGCTTCATTTATGACGGGAGGCTTGTGGACAGTATTGGTTCATGGTCTCAAAATATCCTCAGAACCCAGGAGTCGGAATGCGTTTGTATCAATGGGACTTGCACAGTAGTAATGACTGATGGAAGTGCTTCAGGAAGAGCCGATACTAGAATACTATTCATTGAAGAGGGGAAAATTGTCCATATTAGCCCATTGTCAGGAAGTGCTCAGCATGTAGAAGAGTGTTCCTGTTATCCTAGATATCCTGGCGTCAGATGTATCTGCAGAGACAACTGGAAAGGCTCTAATAGGCCCGTCGTAGACATAAATATGGAAGATTATAGCATTGATTCCAGTTATGTGTGCTCAGGGCTTGTTGGCGACACACCTAGAAACGACGACAGATCTAGCAATAGCAATTGCAGGAATCCTAACAATGAGAGAGGGAATCAAGGAGTGAAAGGCTGGGCCTTTGACAATGGAGATGACGTGTGGATGGGAAGAACGATCAGCAAGGATTTACGCTCAGGTTATGAAACTTTCAAAGTCATTGGTGGTTGGTCCACACCTAATTCCAAATCGCAGATCAATAGACAAGTCATAGTTGACAGCGATAATCGGTCAGGTTACTCTGGTATTTTCTCTGTTGAGGGCAAAAGCTGCATCAATAGGTGCTTTTATGTGGAGTTGATAAGGGGAAGGAAACAGGAGACTAGAGTGTGGTGGACCTCAAACAGTATTGTTGTGTTTTGTGGCACTTCAGGTACCTATGGAACAGGCTCATGGCCTGATGGGGCGAACATCAATTTCATGCCTATATAAGCTTTCGCAATTTTAGAAAAAAAC</v>
          </cell>
          <cell r="R30" t="str">
            <v xml:space="preserve"> </v>
          </cell>
          <cell r="V30" t="str">
            <v>Box 1 - position12</v>
          </cell>
        </row>
        <row r="31">
          <cell r="A31" t="str">
            <v>XV1630166</v>
          </cell>
          <cell r="B31" t="str">
            <v>QU129-04</v>
          </cell>
          <cell r="C31">
            <v>46098</v>
          </cell>
          <cell r="D31">
            <v>1009741022</v>
          </cell>
          <cell r="E31" t="str">
            <v>Hong Kong H3N2 HA</v>
          </cell>
          <cell r="F31" t="str">
            <v>pcDNA3.1 (+)</v>
          </cell>
          <cell r="G31" t="str">
            <v>NheI/XbaI</v>
          </cell>
          <cell r="H31" t="str">
            <v>Ampicillin</v>
          </cell>
          <cell r="I31">
            <v>1735</v>
          </cell>
          <cell r="J31" t="str">
            <v>2-4ug</v>
          </cell>
          <cell r="K31" t="str">
            <v>Lyophilized</v>
          </cell>
          <cell r="L31" t="str">
            <v>12. ALIQUOTED AND LYOPHILIZED</v>
          </cell>
          <cell r="M31" t="str">
            <v>XV1630166</v>
          </cell>
          <cell r="N31" t="str">
            <v>Needs IDT Screening, Screen Result: PASS</v>
          </cell>
          <cell r="P31"/>
          <cell r="Q31" t="str">
            <v>taattctattaatcatgaagaccatcattgctttgagctacattttctgtctggctctcggccaagaccttccaggaaatgacaacagcacagcaacgctgtgcctgggacatcatgcggtgccaaacggaacactagtgaaaacaatcacagatgatcagattgaagtgactaatgctactgagctagttcagagctcctcaacggggaaaatatgcaacaatcctcatcgaatccttgatggaatagactgcacactgatagatgctctattgggggaccctcattgtgatgtttttcaaaatgagacatgggaccttttcgttgaacgcagcaaagctttcagcaactgttacccttatgatgtgccagattatgcctcccttaggtcactagttgcctcgtcaggcactctggagtttatcactgagggtttcacttggactggggtcactcagaatgggggaagcaatgcttgcaaaaggggacctggtaCcggttttttcagtagactgaactggttgaccaaatcaggaagcacatatccagtgctgaacgtgactatgccaaacaatgacaattttgacaaactatacatttggggggttcaccacccgagcacgaaccaagaacaaaccagcctgtatgttcaagcatcagggagagtcacagtctctaccaggagaagccagcaaactataatcccgaatatcgggtccagaccctgggtaaggggtatgtctagtagaataagcatctattggacaatagttaagccgggagacgtactggtaattaatagtaatgggaacctaatcgctcctcggggttatttcaaaatgcgcactgggaaaagctcaataatgaggtcagatgcacctattgatacctgtatttctgaatgcatcactccaaatggaagcattcccaatgacaagccctttcaaaacgtaaacaagatcacatatggagcatgccccaagtatgttaagcaaaacaccctgaagttggcaacagggatgcggaatgtaccagagaaacaaactagaggcctattcggcgcaatagcaggtttcatagaaaatggttgggagggaatgatagacggttggtacggtttcaggcatcaaaattctgagggcacaggacaagcagcagatcttaaaagcactcaagcagccatcgaccaaatcaatgggaaattgaacagggtaatcgagaagacgaacgagaaattccatcaaatcgaaaaggaattctcagaagtagaagggagaattcaggacctcgagaaatacgttgaagacactaaaatagatctctggtcttacaatgcggagcttcttgtcgctctggagaatcaacatacaattgacctgactgactcggaaatgaacaagctgtttgaaaaaacaaggaggcaactgagggaaaatgctgaagacatgggcaatggttgcttcaaaatataccacaaatgtgacaacgcttgcatagagtcaatcagaaatgggacttatgaccatgatgtatacagagacgaagcattaaacaaccggtttcagatcaaaggtgttgaactgaagtctggatacaaagactggatcctgtggatttcctttgccatatcatgctttttgctttgtgttgttttgctggggttcatcatgtgggcctgccagagaggcaacattaggtgcaacatttgcatttgagtgtattagtaattaaaaac</v>
          </cell>
          <cell r="R31" t="str">
            <v xml:space="preserve"> </v>
          </cell>
          <cell r="T31" t="str">
            <v>U0327P1E2</v>
          </cell>
          <cell r="U31" t="str">
            <v>U040207</v>
          </cell>
          <cell r="V31" t="str">
            <v>Box 1 - position13</v>
          </cell>
          <cell r="W31" t="str">
            <v>TOP10</v>
          </cell>
          <cell r="X31" t="str">
            <v>37C</v>
          </cell>
          <cell r="Y31" t="str">
            <v>E. coli</v>
          </cell>
        </row>
        <row r="32">
          <cell r="A32" t="str">
            <v>XV1630167</v>
          </cell>
          <cell r="B32" t="str">
            <v>QU129-05</v>
          </cell>
          <cell r="C32">
            <v>46098</v>
          </cell>
          <cell r="D32">
            <v>1009741022</v>
          </cell>
          <cell r="E32" t="str">
            <v>H9N2 Hong Kong HA</v>
          </cell>
          <cell r="F32" t="str">
            <v>pcDNA3.1 (+)</v>
          </cell>
          <cell r="G32" t="str">
            <v>NheI/BamHI</v>
          </cell>
          <cell r="H32" t="str">
            <v>Ampicillin</v>
          </cell>
          <cell r="I32">
            <v>1714</v>
          </cell>
          <cell r="J32" t="str">
            <v>2-4ug</v>
          </cell>
          <cell r="K32" t="str">
            <v>Lyophilized</v>
          </cell>
          <cell r="L32" t="str">
            <v>8. Sequencing Gene: First Round</v>
          </cell>
          <cell r="M32" t="str">
            <v>XV1630167</v>
          </cell>
          <cell r="N32" t="str">
            <v>Needs IDT Screening, Screen Result: PASS</v>
          </cell>
          <cell r="P32"/>
          <cell r="Q32" t="str">
            <v>GCAAAAGCAGGGGAATTACTTAACTAGCAAAATGGAAACAATATCACTAATAACTATACTACTAGTAGTAACAGCAAGCAATGCAGATAAAATCTGCATCGGCCACCAGTCAACAAACTCCACAGAAACTGTGGACACGCTAACAGAAACCAATGTTCCTGTGACACATGCCAAAGAATTGCTCCACACAGAGCATAATGGAATGCTGTGTGCAACAAGCCTGGGACATCCCCTCATTCTAGACACATGCACTATTGAAGGACTAGTCTATGGCAACCCTTCTTGTGACCTGCTGTTGGGAGGAAGAGAATGGTCCTACATCGTCGAAAGATCATCAGCTGTAAATGGAACGTGTTACCCTGGGAATGTAGAAAACCTAGAGGAACTCAGGACACTTTTTAGTTCCGCTAGTTCCTACCAAAGAATCCAAATCTTCCCAGACACAACCTGGAATGTGACTTACACTGGAACAAGCAGAGCATGTTCAGGTTCATTCTACAGGAGTATGAGATGGCTGACTCAAAAGAGCGGTTTTTACCCTGTTCAAGACGCCCAATACACAAATAACAGGGGAAAGAGCATTCTTTTCGTGTGGGGCATACATCACCCACCCACCTATACCGAGCAAACAAATTTGTACATAAGAAACGACACAACAACAAGCGTGACAACAGAAGATTTGAATAGGACCTTCAAACCAGTGATAGGGCCAAGGCCCCTTGTCAATGGTCTGCAGGGAAGAATTGATTATTATTGGTCGGTACTAAAACCAGGCCAAACATTGCGAGTACGATCCAATGGGAATCTAATTGCTCCATGGTATGGACACGTTCTTTCAGGAGGGAGCCATGGAAGAATCCTGAAGACTGATTTAAAAGGTGGTAATTGTGTAGTGCAATGTCAGACTGAAAAAGGTGGCTTAAACAGTACATTGCCATTCCACAATATCAGTAAATATGCATTTGGAACCTGCCCCAAATATGTAAGAGTTAATAGTCTCAAACTGGCAGTCGGTCTGAGGAACGTGCCTGCTAGATCAAGTAGAGGACTATTTGGAGCCATAGCTGGATTCATAGAAGGAGGTTGGCCAGGACTAGTCGCTGGCTGGTATGGTTTCCAGCATTCAAATGATCAAGGGGTTGGTATGGCTGCAGATAGGGATTCAACTCAAAAGGCAATTGATAAAATAACATCCAAGGTGAATAATATAGTCGACAAGATGAACAAGCAATATGAAATAATTGATCATGAATTCAGTGAGGTTGAAACTAGACTCAATATGATCAATAATAAGATTGATGACCAAATACAAGACGTATGGGCATATAATGCAGAATTGCTAGTACTACTTGAAAATCAAAAAACACTCGATGAGCATGATGCGAACGTGAACAATCTATATAACAAGGTGAAGAGGGCACTGGGCTCCAATGCTATGGAAGATGGGAAAGGCTGTTTCGAGCTATACCATAAATGTGATGATCAGTGCATGGAAACAATTCGGAACGGGACCTATAATAGGAGAAAGTATAGAGAGGAATCAAGACTAGAAAGGCAGAAAATAGAGGGGGTTAAGCTGGAATCTGAGGGAACTTACAAAATCCTCACCATTTATTCGACTGTCGCCTCATCTCTTGTGCTTGCAATGGGGTTTGCTGCCTTCCTGTTCTGGGCCATGTCCAATGGATCTTGCAGATGCAACATTTGTATATAA</v>
          </cell>
          <cell r="R32" t="str">
            <v xml:space="preserve"> </v>
          </cell>
          <cell r="V32" t="str">
            <v>Box 1 - position14</v>
          </cell>
        </row>
        <row r="33">
          <cell r="A33" t="str">
            <v>XV1630168</v>
          </cell>
          <cell r="B33" t="str">
            <v>QU129-06</v>
          </cell>
          <cell r="C33">
            <v>46098</v>
          </cell>
          <cell r="D33">
            <v>1009741022</v>
          </cell>
          <cell r="E33" t="str">
            <v>H9N2 Hong Kong NA</v>
          </cell>
          <cell r="F33" t="str">
            <v>pcDNA3.1 (+)</v>
          </cell>
          <cell r="G33" t="str">
            <v>EcoRI/XbaI</v>
          </cell>
          <cell r="H33" t="str">
            <v>Ampicillin</v>
          </cell>
          <cell r="I33">
            <v>1418</v>
          </cell>
          <cell r="J33" t="str">
            <v>2-4ug</v>
          </cell>
          <cell r="K33" t="str">
            <v>Lyophilized</v>
          </cell>
          <cell r="L33" t="str">
            <v>8. Sequencing Gene: First Round</v>
          </cell>
          <cell r="M33" t="str">
            <v>XV1630168</v>
          </cell>
          <cell r="N33" t="str">
            <v>Needs IDT Screening, Screen Result: PASS</v>
          </cell>
          <cell r="P33"/>
          <cell r="Q33" t="str">
            <v>ATGAATCCAAATCAAAAGATAATAGCACTTGGCTCTGTTTCTATAACTATTGCGACAATATGTTTACTCATGCAGATTGCCATCTTAGCAACGACTATGACACTACATTTCAATGAATGTACCAACCCATCGAACAATCAAGCAGTGCCATGTGAACCAATCATAATAGAAAGGAACATAACAGAGATAGTGCATTTGAATAATACTACCATAGAGAAGGAAAGTTGTCCTAAAGTAGCAGAATACAAGAATTGGTCAAAACCGCAATGTCAAATTACAGGGTTCGCCCCTTTCTCCAAGGACAACTCAATTAGGCTTTCTGCAGGCGGGGATATTTGGGTGACAAGAGAACCTTATGTATCGTGCGGTCTTGGTAAATGTTACCAATTTGCACTTGGGCAGGGAACCACTTTGAACAACAAACACTCAAATGGCACAATACATGATAGGAGTCCCCATAGAACCCTTTTAATGAACGAGTTGGGTGTTCCATTTCATTTGGGAACCAAACAAGTGTGCATAGCATGGTCCAGCTCAAGCTGCCATGATGGGAAGGCATGGTTACATGTTTGTGTCACTGGGGATGATAGAAATGCGACTGCTAGCATCATTTATGATGGGATGCTTACCGACAGTATTGGTTCATGGTCTAAGAACATCCTCAGAACTCAGGAGTCAGAATGCGTTTGCATCAATGGAACTTGTACAGTAGTAATGACTGATGGAAGTGCATCAGGAAGGGCTGATACTAAAATACTATTCATTAGAGAAGGGAAAATTGTCCACATTGGTCCACTGTCAGGAAGTGCTCAGCATGTGGAGGAATGCTCCTGTTACCCCCGGTATCCAGAAGTTAGATGTGTTTGCAGAGACAATTGGAAGGGCTCCAATAGACCCGTGCTATATATAAATGTGGCAGATTATAGTGTTGATTCTAGTTATGTGTGCTCAGGACTTGTTGGCGACACACCAAGAAATGACGATAGCTCCAGCAGCAGTAACTGCAGGGATCCTAATAACGAGAGAGGGGGCCCAGGAGTGAAAGGGTGGGCCTTTGACAATGGAAATGATGTTTGGATGGGACGAACAATCAAGAAAGATTCGCGCTCTGGTTATGAGACTTTCAGGGTCGTTGGTGGTTGGACTACGGCTAATTCCAAGTCACAAATAAATAGGCAAGTCATAGTTGACAGTGATAACTGGTCTGGGTATTCTGGTATATTCTCTGTTGAAGGAAAAACCTGCATCAACAGGTGTTTTTATGTGGAGTTGATAAGAGGGAGACCACAGGAGACCAGAGTATGGTGGACTTCAAATAGCATCATTGTATTTTGTGGAACTTCAGGTACCTATGGAACAGGCTCATGGCCTGATGGAGCGAATATCAATTTCATGTCTATATAAGCTTTCGCAATTTT</v>
          </cell>
          <cell r="R33" t="str">
            <v xml:space="preserve"> </v>
          </cell>
          <cell r="V33" t="str">
            <v>Box 1 - position15</v>
          </cell>
        </row>
        <row r="34">
          <cell r="A34" t="str">
            <v>XV1630169</v>
          </cell>
          <cell r="B34" t="str">
            <v>QU129-07</v>
          </cell>
          <cell r="C34">
            <v>46098</v>
          </cell>
          <cell r="D34">
            <v>1009741022</v>
          </cell>
          <cell r="E34" t="str">
            <v>H2N2 Korea HA</v>
          </cell>
          <cell r="F34" t="str">
            <v>pcDNA3.1 (+)</v>
          </cell>
          <cell r="G34" t="str">
            <v>EcoRI/XbaI</v>
          </cell>
          <cell r="H34" t="str">
            <v>Ampicillin</v>
          </cell>
          <cell r="I34">
            <v>1773</v>
          </cell>
          <cell r="J34" t="str">
            <v>2-4ug</v>
          </cell>
          <cell r="K34" t="str">
            <v>Lyophilized</v>
          </cell>
          <cell r="L34" t="str">
            <v>7. Selecting Clones</v>
          </cell>
          <cell r="M34" t="str">
            <v>XV1630169</v>
          </cell>
          <cell r="N34" t="str">
            <v>Needs IDT Screening, Screen Result: PASS</v>
          </cell>
          <cell r="P34"/>
          <cell r="Q34" t="str">
            <v>AGCAAAAGCAGGGGTTATACCATAGACAACCAAAAGCATAACAATGGCCATCATTTATCTCATACTCCTGTTCACAGCAGTGAGGGGGGACCAGATATGCATTGGATACCATGCCAATAATTCCACAGAAAAGGTCGACACAATTCTAGAGCGGAATGTCACTGTGACTCATGCCAAGGACATCCTTGAGAAGACCCATAACGGAAAGCTATGCAAACTAAACGGAATCCCTCCACTTGAACTAGGGGACTGTAGCATTGCCGGATGGCTCCTTGGAAATCCAGAATGTGATAGGCTTCTAAGTGTGCCAGAATGGTCCTATATAATGGAGAAAGAAAACCCGAGATACAGTTTGTGTTACCCAGGCAGCTTCAATGACTATGAAGAATTGAAACATCTCCTCAGCAGCGTGAAACATTTTGAGAAAGTTAAGATTTTGCCCAAAGATAGATGGACACAGCATACAACAACTGGAGGTTCATGGGCCTGCGCGGTGTCAGGTAAACCATCATTCTTCAGGAACATGGTCTGGCTGACACGTAAAGGATCAAATTATCCGGTTGCCAAAGGATCGTACAACAATACAAGCGGAGAACAAATGCTAATAATTTGGGGAGTGCACCATCCTAATGATGAGGCAGAACAAAGAGCATTGTACCAGAATGTGGGAACCTATGTTTCCGTAGCCACATCAACATTGTACAAAAGGTCAATCCCAGAAATAGCAGCAAGGCCTAAAGTGAATGGACTAGGACGTAGAATGGAATTCTCTTGGACCCTCTTGGATATGTGGGACACCATAAATTTTGAGAGCACTGGTAATCTAGTTGCACCAGAGTATGGGTTCAAAATATCGAAAAGAGGTAGTTCAGGGATCATGAAGACAGAAGGAACACTTGAGAACTGTGAAACCAAATGCCAAACTCCTTTGGGAGCAATAAATACAACACTACCTTTTCACAATGTCCACCCACTGACAATAGGTGAATGCCCCAAATATGTAAAATCGGAGAAATTGGTCTTAGCAACAGGACTAAGGAATGTTCCCCAGATTGAATCAAGAGGATTGTTTGGGGCAATAGCTGGTTTTATAGAAGGAGGATGGCAAGGAATGGTTGATGGTTGGTATGGATACCATCACAGCAATGACCAGGGATCAGGGTATGCAGCAGACAAAGAATCCACTCAAAAGGCATTTAATGGAATCACCAACAAGGTAAATTCTGTGATTGAAAAGATGAACACCCAATTTGAAGCTGTTGGGAAAGAATTCAGTAACTTAGAGAAAAGACTGGAGAACTTGAACAAAAAGATGGAAGACGGGTTTCTAGATGTGTGGACATACAATGCAGAGCTTCTAGTTCTGATGGAAAATGAGAGGACACTTGACTTTCATGATTCTAATGTCAAGAATCTGTATGATAAAGTCAGAATGCAGCTGAGAGACAACGTCAAAGAACTAGGAAATGGATGTTTTGAATTTTATCACAAATGTGACAATGAATGCATGGATAGTGTGAAAAACGGGACATATGATTATCCCAAGTATGAAGAAGAATCTAAACTAAATAGAAATGAAATCAAAGGGGTAAAATTGAGCAGCATGGGGGTTTATCAAATCCTTGCCATTTATGCTACAGTAGCAGGTTCTCTGTCACTGGCAATCATGATGGCTGGGATCTCTTTCTGGATGTGCTCCAACGGGTCTCTGCAGTGCAGAATCTGCATATGATTGTAAGTCATTTTATAATTAAAAACACCCTTGTTTCCTGA</v>
          </cell>
          <cell r="R34" t="str">
            <v xml:space="preserve"> </v>
          </cell>
          <cell r="V34" t="str">
            <v>Box 1 - position16</v>
          </cell>
        </row>
        <row r="35">
          <cell r="A35" t="str">
            <v>XV1630170</v>
          </cell>
          <cell r="B35" t="str">
            <v>QU129-08</v>
          </cell>
          <cell r="C35">
            <v>46098</v>
          </cell>
          <cell r="D35">
            <v>1009741022</v>
          </cell>
          <cell r="E35" t="str">
            <v>H2N2 Korea NA</v>
          </cell>
          <cell r="F35" t="str">
            <v>pcDNA3.1 (+)</v>
          </cell>
          <cell r="G35" t="str">
            <v>EcoRI/XbaI</v>
          </cell>
          <cell r="H35" t="str">
            <v>Ampicillin</v>
          </cell>
          <cell r="I35">
            <v>1410</v>
          </cell>
          <cell r="J35" t="str">
            <v>2-4ug</v>
          </cell>
          <cell r="K35" t="str">
            <v>Lyophilized</v>
          </cell>
          <cell r="L35" t="str">
            <v>8. Sequencing Gene: First Round</v>
          </cell>
          <cell r="M35" t="str">
            <v>XV1630170</v>
          </cell>
          <cell r="N35" t="str">
            <v>Needs IDT Screening, Screen Result: PASS</v>
          </cell>
          <cell r="P35"/>
          <cell r="Q35" t="str">
            <v>ATGAATCCAAATCAAAAGATAATAACAATTGGCTCTGTCTCTCTCACCATTGCAACAGTATGCTTCCTCATGCAGATTGCCATCCTGGTAACTACTGTGACATTGCATTTTAAGCAACATGAGTGCGACTCCCCCGCGAGCAACCAAGTAATGCCGTGTGAACCAATAATAATAGAAAGGAACATAACAGAGATAGTGTATTTGAATAACACCACCATAGAGAAAGAGATCTGCCCCGAAGTAGTGGAATACAGAAATTGGTCAAAGCCGCAATGTCAAATTACAGGATTTGCACCTTTTTCTAAGGACAATTCAATCCGGCTTTCTGCTGGTGGGGACATTTGGGTGACGAGAGAACCTTATGTGTCATGCGATCCTGGCAAGTGTTATCAATTTGCACTCGGGCAGGGGACCACACTAGACAACAAACATTCAAATGACACAATACATGATAGAATCCCTCATCGAACCCTATTAATGAATGAGTTGGGTGTTCCATTTCATTTAGGAACCAGGCAAGTGTGTGTAGCATGGTCCAGCTCAAGTTGTCACGATGGAAAAGCATGGTTGCATGTTTGTGTCACTGGGGATGATAAAAATGCAACTGCTAGCTTCATTTATGACGGGAGGCTTATGGACAGTATTGGTTCATGGTCTCAAAATATCCTCAGGACCCAGGAGTCGGAATGCGTTTGTATCAATGGGACTTGCACAGTAGTAATGACTGATGGAAGTGCTTCAGGAAGAGCCGATACTAGAATACTATTCATTGAAGAGGGGAAAATTGTCCATATTAGCCCATTGTCAGGAAGTGCTCAGCATGTAGAGGAGTGTTCCTGTTATCCTCGATATCCTGACGTCAGATGTATCTGCAGAGACAACTGGAAAGGCTCTAATAGGCCCGTCATAGACATAAATATGGAAGATTATAGCATTGATTCCAGTTATGTGTGCTCAGGGCTTGTTGGCGACACACCCAGAAACGACGACAGATCTAGCAATAGTAATTGCAGGAATCCTAACAATGAGAGAGGGAATCCAGGAGTGAAAGGCTGGGCCTTTGACAATGGAGATGACGTGTGGATGGGAAGAACGATCAGCAAGGATTTACGCTCAGGTTATGAAACTTTCAAAGTCATTGGTGGTTGGTCCACACCTAATTCCAAATCGCAGATCAATAGACAGGTCATAGTTGACAGCAATAATTGGTCAGGTTACTCTGGTATTTTCTCTGTTGAGGGCAAAAGATGCATCAATAGGTGCTTTTATGTGGAGTTGATAAGGGGAAGGCAACAGGAGACTAGAGTATGGTGGACCTCAAACAGTATTGTTGTGTTTTGTGGCACTTCAGGTACTTATGGAACAGGCTCATGGCCTGATGGGGCGAACATCAATTTCATGCCTATATAA</v>
          </cell>
          <cell r="R35" t="str">
            <v xml:space="preserve"> </v>
          </cell>
          <cell r="V35" t="str">
            <v>Box 1 - position17</v>
          </cell>
        </row>
        <row r="36">
          <cell r="A36" t="str">
            <v>XV1630171</v>
          </cell>
          <cell r="B36" t="str">
            <v>QU129-09</v>
          </cell>
          <cell r="C36">
            <v>46098</v>
          </cell>
          <cell r="D36">
            <v>1009741022</v>
          </cell>
          <cell r="E36" t="str">
            <v>H7N9 Shanghai HA</v>
          </cell>
          <cell r="F36" t="str">
            <v>pcDNA3.1 (+)</v>
          </cell>
          <cell r="G36" t="str">
            <v>KpnI/XbaI</v>
          </cell>
          <cell r="H36" t="str">
            <v>Ampicillin</v>
          </cell>
          <cell r="I36">
            <v>1708</v>
          </cell>
          <cell r="J36" t="str">
            <v>2-4ug</v>
          </cell>
          <cell r="K36" t="str">
            <v>Lyophilized</v>
          </cell>
          <cell r="L36" t="str">
            <v>6. Vector Insertion</v>
          </cell>
          <cell r="M36" t="str">
            <v>XV1630171</v>
          </cell>
          <cell r="N36" t="str">
            <v>Needs IDT Screening, Screen Result: PASS</v>
          </cell>
          <cell r="P36"/>
          <cell r="Q36" t="str">
            <v>ATGAACACTCAAATCCTGGTATTCGCTCTGATTGCGATCATTCCAACAAATGCAGACAAAATCTGCCTCGGACATCATGCCGTGTCAAACGGAACCAAAGTAAACACATTAACTGAAAGAGGAGTGGAAGTCGTCAATGCAACTGAAACAGTGGAACGAACAAACATCCCCAGGATCTGCTCAAAAGGGAAAAGGACAGTTGACCTCGGTCAATGTGGACTCCTGGGGACAATCACTGGACCACCTCAATGTGACCAATTCCTAGAATTTTCAGCCGATTTAATTATTGAGAGGCGAGAAGGAAGTGATGTCTGTTATCCTGGGAAATTCGTGAATGAAGAAGCTCTGAGGCAAATTCTCAGAGAATCAGGCGGAATTGACAAGGAAGCAATGGGATTCACATACAGTGGAATAAGAACTAATGGAGCAACCAGTGCATGTAGGAGATCAGGATCTTCATTCTATGCAGAAATGAAATGGCTCCTGTCAAACACAGATAATGCTGCATTCCCGCAGATGACTAAGTCATATAAAAATACAAGAAAAAGCCCAGCTCTAATAGTATGGGGGATCCATCATTCCGTATCAACTGCAGAGCAAACCAAGCTATATGGGAGTGGAAACAAACTGGTGACAGTTGGGAGTTCTAATTATCAACAATCTTTTGTACCGAGTCCAGGAGCGAGACCACAAGTTAATGGTCTATCTGGAAGAATTGACTTTCATTGGCTAATGCTAAATCCCAATGATACAGTCACTTTCAGTTTCAATGGGGCTTTCATAGCTCCAGACCGTGCAAGCTTCCTGAGAGGAAAATCTATGGGAATCCAGAGTGGAGTACAGGTTGATGCCAATTGTGAAGGGGACTGCTATCATAGTGGAGGGACAATAATAAGTAACTTGCCATTTCAGAACATAGATAGCAGGGCAGTTGGAAAATGTCCGAGATATGTTAAGCAAAGGAGTCTGCTGCTAGCAACAGGGATGAAGAATGTTCCTGAGATTCCAAAAGGAAGAGGCCTATTTGGTGCTATAGCGGGTTTCATTGAAAATGGATGGGAAGGCCTAATTGATGGTTGGTATGGTTTCAGACACCAGAATGCACAGGGAGAGGGAACTGCTGCAGATTACAAAAGCACTCAATCGGCAATTGATCAAATAACAGGAAAATTAAACCGGCTTATAGAAAAAACCAACCAACAATTTGAGTTGATAGACAATGAATTCAATGAGGTAGAGAAGCAAATCGGTAATGTGATAAATTGGACCAGAGATTCTATAACAGAAGTGTGGTCATACAATGCTGAACTCTTGGTAGCAATGGAGAACCAGCATACAATTGATCTGGCTGATTCAGAAATGGACAAACTGTACGAACGAGTGAAAAGACAGCTGAGAGAGAATGCTGAAGAAGATGGCACTGGTTGCTTTGAAATATTTCACAAGTGTGATGATGACTGTATGGCCAGTATTAGAAATAACACCTATGATCACAGCAAATACAGGGAAGAGGCAATGCAAAATAGAATACAGATTGACCCAGTCAAACTAAGCAGCGGCTACAAAGATGTGATACTTTGGTTTAGCTTCGGGGCATCATGTTTCATACTTCTAGCCATTGTAATGGGCCTTGTCTTCATATGTGTAAAGAATGGAAACATGCGGTGCACTATTTGTATATAAGTTTGGAAAAAACACCCTTGTTTCT</v>
          </cell>
          <cell r="R36" t="str">
            <v xml:space="preserve"> </v>
          </cell>
          <cell r="V36" t="str">
            <v>Box 1 - position18</v>
          </cell>
        </row>
        <row r="37">
          <cell r="A37" t="str">
            <v>XV1630172</v>
          </cell>
          <cell r="B37" t="str">
            <v>QU129-10</v>
          </cell>
          <cell r="C37">
            <v>46098</v>
          </cell>
          <cell r="D37">
            <v>1009741022</v>
          </cell>
          <cell r="E37" t="str">
            <v>H7N9 Shanghai NA</v>
          </cell>
          <cell r="F37" t="str">
            <v>pcDNA3.1 (+)</v>
          </cell>
          <cell r="G37" t="str">
            <v>NheI/XbaI</v>
          </cell>
          <cell r="H37" t="str">
            <v>Ampicillin</v>
          </cell>
          <cell r="I37">
            <v>1418</v>
          </cell>
          <cell r="J37" t="str">
            <v>2-4ug</v>
          </cell>
          <cell r="K37" t="str">
            <v>Lyophilized</v>
          </cell>
          <cell r="L37" t="str">
            <v>8. Sequencing Gene: First Round</v>
          </cell>
          <cell r="M37" t="str">
            <v>XV1630172</v>
          </cell>
          <cell r="N37" t="str">
            <v>Needs IDT Screening, Screen Result: PASS</v>
          </cell>
          <cell r="P37"/>
          <cell r="Q37" t="str">
            <v>ATGAATCCAAATCAAAAGATAATAGCACTTGGCTCTGTTTCTATAACTATTGCGACAATATGTTTACTCATGCAGATTGCCATCTTAGCAACGACTATGACACTACATTTCAATGAATGTACCAACCCATCGAACAATCAAGCAGTGCCATGTGAACCAATCATAATAGAAAGGAACATAACAGAGATAGTGCATTTGAATAATACTACCATAGAGAAGGAAAGTTGTCCTAAAGTAGCAGAATACAAGAATTGGTCAAAACCGCAATGTCAAATTACAGGGTTCGCCCCTTTCTCCAAGGACAACTCAATTAGGCTTTCTGCAGGCGGGGATATTTGGGTGACAAGAGAACCTTATGTATCGTGCGGTCTTGGTAAATGTTACCAATTTGCACTTGGGCAGGGAACCACTTTGAACAACAAACACTCAAATGGCACAATACATGATAGGAGTCCCCATAGAACCCTTTTAATGAACGAGTTGGGTGTTCCATTTCATTTGGGAACCAAACAAGTGTGCATAGCATGGTCCAGCTCAAGCTGCCATGATGGGAAGGCATGGTTACATGTTTGTGTCACTGGGGATGATAGAAATGCGACTGCTAGCATCATTTATGATGGGATGCTTACCGACAGTATTGGTTCATGGTCTAAGAACATCCTCAGAACTCAGGAGTCAGAATGCGTTTGCATCAATGGAACTTGTACAGTAGTAATGACTGATGGAAGTGCATCAGGAAGGGCTGATACTAAAATACTATTCATTAGAGAAGGGAAAATTGTCCACATTGGTCCACTGTCAGGAAGTGCTCAGCATGTGGAGGAATGCTCCTGTTACCCCCGGTATCCAGAAGTTAGATGTGTTTGCAGAGACAATTGGAAGGGCTCCAATAGACCCGTGCTATATATAAATGTGGCAGATTATAGTGTTGATTCTAGTTATGTGTGCTCAGGACTTGTTGGCGACACACCAAGAAATGACGATAGCTCCAGCAGCAGTAACTGCAGGGATCCTAATAACGAGAGAGGGGGCCCAGGAGTGAAAGGGTGGGCCTTTGACAATGGAAATGATGTTTGGATGGGACGAACAATCAAGAAAGATTCGCGCTCTGGTTATGAGACTTTCAGGGTCGTTGGTGGTTGGACTACGGCTAATTCCAAGTCACAAATAAATAGGCAAGTCATAGTTGACAGTGATAACTGGTCTGGGTATTCTGGTATATTCTCTGTTGAAGGAAAAACCTGCATCAACAGGTGTTTTTATGTGGAGTTGATAAGAGGGAGACCACAGGAGACCAGAGTATGGTGGACTTCAAATAGCATCATTGTATTTTGTGGAACTTCAGGTACCTATGGAACAGGCTCATGGCCTGATGGAGCGAATATCAATTTCATGTCTATATAAGCTTTCGCAATTTT</v>
          </cell>
          <cell r="R37" t="str">
            <v xml:space="preserve">  </v>
          </cell>
          <cell r="V37" t="str">
            <v>Box 1 - position19</v>
          </cell>
        </row>
        <row r="38">
          <cell r="A38" t="str">
            <v>XV1630173</v>
          </cell>
          <cell r="B38" t="str">
            <v>QU129-11</v>
          </cell>
          <cell r="C38">
            <v>46098</v>
          </cell>
          <cell r="D38">
            <v>1009741022</v>
          </cell>
          <cell r="E38" t="str">
            <v>B Lee HA</v>
          </cell>
          <cell r="F38" t="str">
            <v>pcDNA3.1 (+)</v>
          </cell>
          <cell r="G38" t="str">
            <v>NheI/EcoRI</v>
          </cell>
          <cell r="H38" t="str">
            <v>Ampicillin</v>
          </cell>
          <cell r="I38">
            <v>1882</v>
          </cell>
          <cell r="J38" t="str">
            <v>2-4ug</v>
          </cell>
          <cell r="K38" t="str">
            <v>Lyophilized</v>
          </cell>
          <cell r="L38" t="str">
            <v>12. ALIQUOTED AND LYOPHILIZED</v>
          </cell>
          <cell r="M38" t="str">
            <v>XV1630173</v>
          </cell>
          <cell r="N38" t="str">
            <v>Needs IDT Screening, Screen Result: PASS</v>
          </cell>
          <cell r="P38"/>
          <cell r="Q38" t="str">
            <v>AGCAGAAGCGTTGCATTTTCTAATATCCACAAAATGAAGGCAATAATTGTACTACTCATGGTAGTAACATCCAATGCAGATCGAATCTGCACTGGGATAACATCGTCAAACTCACCTCATGTGGTTAAAACTGCCACTCAAGGGGAAGTCAATGTGACTGGTGTGATACCACTAACAACAACACCTACCAAATCTCATTTTGCAAATCTCAAAGGAACACAGACCAGAGGAAAACTATGCCCAAACTGTTTTAACTGCACAGATCTGGACGTGGCCCTAGGCAGACCAAAATGCATGGGGAACACACCCTCCGCAAAAGTCTCAATACTCCATGAAGTCAAACCTGCTACATCTGGATGCTTTCCTATAATGCACGACAGAACAAAAATCAGACAACTACCTAATCTTCTCAGAGGATATGAAAACATCAGGTTATCAACCAGTAATGTTATCAATACAGAGACGGCACCAGGAGGACCCTACAAGGTGGGGACCTCAGGATCTTGCCCTAACGTTGCTAATGGGAACGGCTTCTTCAACACAATGGCTTGGGTTATCCCAAAAGACAACAACAAGACAGCAATAAATCCAGTAACAGTAGAAGTACCATACATTTGTTCAGAAGGGGAAGACCAAATTACTGTTTGGGGGTTCCACTCTGATGACAAAACCCAAATGGAAAGACTCTATGGAGACTCAAATCCTCAAAAGTTCACCTCATCTGCCAATGGAGTAACCACACATTATGTTTCTCAGATTGGTGGCTTCCCAAATCAAACAGAAGACGAAGGGCTAAAACAAAGCGGCAGAATTGTTGTTGATTACATGGTACAAAAACCTGGAAAAACAGGAACAATTGTTTATCAAAGAGGCATTTTATTGCCTCAAAAAGTGTGGTGCGCAAGTGGCAGGAGCAAGGTAATAAAAGGGTCCTTGCCTTTAATTGGTGAAGCAGATTGCCTCCACGAAAAGTACGGTGGATTAAATAAAAGCAAGCCTTACTACACAGGAGAGCATGCAAAGGCCATAGGAAATTGCCCAATATGGGTGAAAACACCCTTGAAGCTGGCCAATGGAACCAAATATAGACCGCCTGCAAAACTATTAAAGGAAAGAGGTTTCTTCGGAGCTATTGCTGGTTTCTTGGAAGGAGGATGGGAAGGAATGATTGCAGGTTGGCACGGATACACATCTCATGGAGCACATGGAGTGGCAGTGGCAGCAGACCTTAAGAGTACACAAGAAGCTATAAACAAGATAACAAAAAATCTCAACTATTTAAGTGAGCTAGAAGTAAAAAACCTTCAAAGACTAAGCGGAGCAATGAATGAGCTTCACGACGAAATACTCGAGCTAGACGAAAAAGTGGATGATCTAAGAGCTGATACAATAAGCTCACAAATAGAGCTTGCAGTCTTGCTTTCCAACGAAGGGATAATAAACAGTGAAGATGAGCATCTCTTGGCACTTGAAAGAAAACTGAAGAAAATGCTTGGCCCCTCTGCTGTAGAAATAGGGAATGGGTGCTTTGAAACCAAACACAAATGCAACCAGACTTGCCTAGACAGGATAGCTGCTGGCACCTTTAATGCAGGAGATTTTTCTCTTCCCACTTTTGATTCATTAAACATTACTGCTGCATCTTTAAATGATGATGGCTTGGATAATCATACTATACTGCTCTACTACTCAACTGCTGCTTCTAGCTTGGCTGTAACATTAATGATAGCTATCTTCATTGTCTACATGGTCTCCAGAGACAATGTTTCTTGTTCCATCTGTCTGTGAGGGAGATTAAGCCCTGTGTTTTCCTTTACTGTAGTGCTCATTTGCTTGTCACCATTACAAAGAAACGTTATTGAAAAATGCTCTTGTTACTACT</v>
          </cell>
          <cell r="R38" t="str">
            <v xml:space="preserve"> </v>
          </cell>
          <cell r="T38" t="str">
            <v>U0327P1H4</v>
          </cell>
          <cell r="U38" t="str">
            <v>U040906</v>
          </cell>
          <cell r="V38" t="str">
            <v>Box 1 - position20</v>
          </cell>
          <cell r="W38" t="str">
            <v>TOP10</v>
          </cell>
          <cell r="X38" t="str">
            <v>37C</v>
          </cell>
          <cell r="Y38" t="str">
            <v>E. coli</v>
          </cell>
        </row>
        <row r="39">
          <cell r="A39" t="str">
            <v>XV1630174</v>
          </cell>
          <cell r="B39" t="str">
            <v>QU129-12</v>
          </cell>
          <cell r="C39">
            <v>46098</v>
          </cell>
          <cell r="D39">
            <v>1009741022</v>
          </cell>
          <cell r="E39" t="str">
            <v>B Lee NA</v>
          </cell>
          <cell r="F39" t="str">
            <v>pcDNA3.1 (+)</v>
          </cell>
          <cell r="G39" t="str">
            <v>NheI/EcoRI</v>
          </cell>
          <cell r="H39" t="str">
            <v>Ampicillin</v>
          </cell>
          <cell r="I39">
            <v>1557</v>
          </cell>
          <cell r="J39" t="str">
            <v>2-4ug</v>
          </cell>
          <cell r="K39" t="str">
            <v>Lyophilized</v>
          </cell>
          <cell r="L39" t="str">
            <v>7. Selecting Clones</v>
          </cell>
          <cell r="M39" t="str">
            <v>XV1630174</v>
          </cell>
          <cell r="N39" t="str">
            <v>Needs IDT Screening, Screen Result: PASS</v>
          </cell>
          <cell r="P39"/>
          <cell r="Q39" t="str">
            <v>AGCAGAAGCAGAGCATATTCTTAGAACTGAAGTGAACAGGCCAAAAATGAACAATGCTACCTTCAACTGTACAAACATTAACCCTATTACTCACATCAGGGGGAGTATTATTATCACTATATGTGTCAGCCTCATTGTCATACTTATTGTATTCGGATGTATTGCTAAAATTTTCATCAACAAAAACAACTGCACCAACAATGTCATTAGAGTGCACAAACGCATCAAATGCCCAGACTGTGAACCATTCTGCAACAAAAGAGATGACATTTCCACCCCCAGAGCCGGAGTGGACATACCCTCGTTTATCTTGCCAGGGCTCAACCTTTCAGAAGGCACTCCTAATTAGCCCTCATAGGTTCGGAGAGATCAAAGGAAACTCAGCTCCCTTGATAATAAGAGAACCTTTTGTTGCTTGTGGACCAAAAGAATGCAGACACTTTGCTCTGACCCATTATGCAGCTCAGCCGGGGGGATACTACAATGGAACAAGAAAGGACAGAAACAAGCTGAGGCATCTAGTATCAGTCAAATTGGGAAAAATCCCAACTGTGGAAAACTCCATTTTCCACATGGCAGCTTGGAGCGGATCCGCATGCCATGATGGTAGAGAATGGACATATATCGGAGTTGATGGTCCTGACAATGATGCATTGGTCAAAATAAAATATGGAGAAGCATATACTGACACATATCATTCCTATGCACACAACATCCTAAGAACACAAGAAAGTGCCTGCAATTGCATCGGGGGAGATTGTTATCTTATGATAACAGACGGCTCAGCTTCAGGAATTAGTAAATGCAGATTTCTTAAAATTAGAGAGGGTCGAATAATAAAAGAAATACTTCCAACAGGAAGAGTGGAGCACACTGAAGAGTGCACATGCGGGTTCGCCAGCAATAAAACCATAGAATGTGCCTGTAGAGACAACAGTTACACAGCAAAAAGACCCTTTGTCAAATTAAATGTGGAAACTGATACAGCTGAAATAAGATTGATGTGCACAAAGACTTATCTAGACACTCCCAGACCGGATGATGGAAGCATAGCAGGGCCTTGCGAATCTAATGGAGACAAGTGGCTTGGAGGCATCAAAGGAGGATTCGTCCATCAAAGAATGGCATCTAAGATTGGAAGATGGTACTCCCGAACGATGTCTAAAACTAACAGAATGGGGATGGAACTGTATGTAAAGTATGATGGTGACCCATGGACTGACAGTGATGCTCTTACTCTTAGTGGAGTAATGGTTTCCATAGAAGAACCTGGTTGGTATTCTTTTGGCTTCGAAATAAAGGACAAGAAATGTGATGTCCCTTGTATTGGGATAGAGATGGTACACGATGGTGGAAAAGATACTTGGCATTCAGCTGCAACAGCCATTTACTGTTTGATGGGCTCAGGACAATTGCTATGGGACACTGTCACAGGCGTTGATATGGCTTTATAATAGAGGAATGGTTGGATCTGTTCTAAACCCTTTGTTCCTATTTTATTTGAACAGTTGTTCTTACTAGATTTAATTGTTTCTGAAAAATGCTCTTGTTACTACT</v>
          </cell>
          <cell r="R39" t="str">
            <v xml:space="preserve"> </v>
          </cell>
          <cell r="V39" t="str">
            <v>Box 1 - position21</v>
          </cell>
        </row>
        <row r="40">
          <cell r="A40" t="str">
            <v>XV1630182</v>
          </cell>
          <cell r="B40" t="str">
            <v>UMON287-01</v>
          </cell>
          <cell r="C40">
            <v>46104</v>
          </cell>
          <cell r="D40">
            <v>1009768102</v>
          </cell>
          <cell r="E40" t="str">
            <v>RAB5A_C19S_C63S_ΔCSN</v>
          </cell>
          <cell r="F40" t="str">
            <v>pET-28a(+)</v>
          </cell>
          <cell r="G40" t="str">
            <v>NdeI/XhoI</v>
          </cell>
          <cell r="H40" t="str">
            <v>Kanamycin</v>
          </cell>
          <cell r="I40">
            <v>648</v>
          </cell>
          <cell r="J40" t="str">
            <v>2-4ug</v>
          </cell>
          <cell r="K40" t="str">
            <v>Lyophilized</v>
          </cell>
          <cell r="L40" t="str">
            <v>7. Selecting Clones</v>
          </cell>
          <cell r="M40" t="str">
            <v>XV1630182</v>
          </cell>
          <cell r="N40" t="str">
            <v>Needs IDT Screening, Screen Result: PASS</v>
          </cell>
          <cell r="P40"/>
          <cell r="Q40" t="str">
            <v>CATATGGCTAGTCGAGGCGCAACAAGACCCAACGGGCCAAATACGGGAAATAAAATAAGCCAGTTCAAACTAGTACTTCTGGGAGAGTCCGCTGTTGGCAAATCAAGCCTAGTGCTTCGTTTTGTGAAAGGCCAATTTCATGAATTTCAAGAGAGTACCATTGGGGCTGCTTTTCTAACCCAAACTGTAAGTCTTGATGACACTACAGTAAAGTTTGAAATATGGGATACAGCTGGTCAAGAACGATACCATAGCCTAGCACCAATGTACTACAGAGGAGCACAAGCAGCCATAGTTGTATATGATATCACAAATGAGGAGTCCTTTGCAAGAGCAAAAAATTGGGTTAAAGAACTTCAGAGGCAAGCAAGTCCTAACATTGTAATAGCTTTATCGGGAAACAAGGCCGACCTAGCAAATAAAAGAGCAGTAGATTTCCAGGAAGCACAGTCCTATGCAGATGACAATAGTTTATTATTCATGGAGACATCCGCTAAAACATCAATGAATGTAAATGAAATATTCATGGCAATAGCTAAAAAATTGCCAAAGAATGAACCACAAAATCCAGGAGCAAATTCTGCCAGAGGAAGAGGAGTAGACCTTACCGAACCCACACAACCAACCAGGAATCAGTGTTGACTCGAG</v>
          </cell>
          <cell r="R40" t="str">
            <v xml:space="preserve"> </v>
          </cell>
        </row>
        <row r="41">
          <cell r="A41" t="str">
            <v>XV1630183</v>
          </cell>
          <cell r="B41" t="str">
            <v>UMON287-02</v>
          </cell>
          <cell r="C41">
            <v>46104</v>
          </cell>
          <cell r="D41">
            <v>1009768102</v>
          </cell>
          <cell r="E41" t="str">
            <v>RAB7A_ΔSC</v>
          </cell>
          <cell r="F41" t="str">
            <v>pET-28a(+)</v>
          </cell>
          <cell r="G41" t="str">
            <v>NdeI/XhoI</v>
          </cell>
          <cell r="H41" t="str">
            <v>Kanamycin</v>
          </cell>
          <cell r="I41">
            <v>627</v>
          </cell>
          <cell r="J41" t="str">
            <v>2-4ug</v>
          </cell>
          <cell r="K41" t="str">
            <v>Lyophilized</v>
          </cell>
          <cell r="L41" t="str">
            <v>7. Selecting Clones</v>
          </cell>
          <cell r="M41" t="str">
            <v>XV1630183</v>
          </cell>
          <cell r="N41" t="str">
            <v>Needs IDT Screening, Screen Result: PASS</v>
          </cell>
          <cell r="P41"/>
          <cell r="Q41" t="str">
            <v>CATATGACCTCTAGGAAGAAAGTGTTGCTGAAGGTTATCATCCTGGGAGATTCTGGAGTCGGGAAGACATCACTCATGAACCAGTATGTGAATAAGAAATTCAGCAATCAGTACAAAGCCACAATAGGAGCTGACTTTCTGACCAAGGAGGTGATGGTGGATGACAGGCTAGTCACAATGCAGATATGGGACACAGCAGGACAGGAACGGTTCCAGTCTCTCGGTGTGGCCTTCTACAGAGGTGCAGACTGCTGCGTTCTGGTATTTGATGTGACTGCCCCCAACACATTCAAAACCCTAGATAGCTGGAGAGATGAGTTTCTCATCCAGGCCAGTCCCCGAGATCCTGAAAACTTCCCATTTGTTGTGTTGGGAAACAAGATTGACCTCGAAAACAGACAAGTGGCCACAAAGCGGGCACAGGCCTGGTGCTACAGCAAAAACAACATTCCCTACTTTGAGACCAGTGCCAAGGAGGCCATCAACGTGGAGCAGGCGTTCCAGACGATTGCACGGAATGCACTTAAGCAGGAAACGGAGGTGGAGCTGTACAACGAATTTCCTGAACCTATCAAACTGGACAAGAATGACCGGGCCAAGGCCTCGGCAGAAAGCTGCTGACTCGAG</v>
          </cell>
          <cell r="R41" t="str">
            <v xml:space="preserve"> </v>
          </cell>
        </row>
        <row r="42">
          <cell r="A42" t="str">
            <v>XV2630184</v>
          </cell>
          <cell r="B42" t="str">
            <v>ADVIRO006-12</v>
          </cell>
          <cell r="C42">
            <v>46104</v>
          </cell>
          <cell r="D42">
            <v>20072260</v>
          </cell>
          <cell r="E42" t="str">
            <v>pHW2000 BsaI PR8 PB2 Bsal CPol I</v>
          </cell>
          <cell r="F42" t="str">
            <v>ADVIRO006-01 (will come from Sg)</v>
          </cell>
          <cell r="G42" t="str">
            <v>Seamless</v>
          </cell>
          <cell r="H42" t="str">
            <v>Ampicillin</v>
          </cell>
          <cell r="I42">
            <v>2551</v>
          </cell>
          <cell r="J42" t="str">
            <v>100ug</v>
          </cell>
          <cell r="K42" t="str">
            <v>Lyophilized</v>
          </cell>
          <cell r="L42" t="str">
            <v>1. Synthesizing Oligos</v>
          </cell>
          <cell r="M42" t="str">
            <v>XV2630184</v>
          </cell>
          <cell r="N42" t="str">
            <v>Needs IDT Screening, Screen Result: PASS</v>
          </cell>
          <cell r="P42"/>
          <cell r="Q42" t="str">
            <v>TCGACCTCCGAAGTTGGGGGGGAGTCTTCAGCGAAAGCAGGTCAATTATATTCAATATGGAAAGAATAAAAGAACTAAGAAATCTAATGTCGCAGTCTCGCACCCGCGAGATACTCACAAAAACCACCGTGGACCATATGGCCATAATCAAGAAGTACACATCAGGAAGACAGGAGAAGAACCCAGCACTTAGGATGAAATGGATGATGGCAATGAAATATCCAATTACAGCAGACAAGAGGATAACGGAAATGATTCCTGAGAGAAATGAGCAAGGACAAACTTTATGGAGTAAAATGAATGATGCAGGATCAGACCGAGTGATGGTATCACCTCTGGCTGTGACATGGTGGAATAGGAATGGACCAATAACAAATACAGTTCATTATCCAAAAATCTACAAAACTTATTTTGAAAGAGTCGAAAGGCTAAAGCATGGAACCTTTGGCCCTGTCCATTTTAGAAACCAAGTCAAAATACGTCGGAGAGTTGACATAAATCCTGGTCATGCAGATCTCAGTGCCAAGGAGGCACAGGATGTAATCATGGAAGTTGTTTTCCCTAACGAAGTGGGAGCCAGGATACTAACATCGGAATCGCAACTAACGATAACCAAAGAGAAGAAAGAAGAACTCCAGGATTGCAAAATTTCTCCTTTGATGGTTGCATACATGTTGGAGAGAGAACTGGTCCGCAAAACGAGATTCCTCCCAGTGGCTGGTGGAACAAGCAGTGTGTACATTGAAGTGTTGCATTTGACTCAAGGAACATGCTGGGAACAGATGTATACTCCAGGAGGGGAAGTGAGGAATGATGATGTTGATCAAAGCTTGATTATTGCTGCTAGGAACATAGTGAGAAGAGCTGCAGTATCAGCAGATCCACTAGCATCTTTATTGGAGATGTGCCACAGCACACAGATTGGTGGAATTAGGATGGTAGACATCCTTAGGCAGAACCCAACAGAAGAGCAAGCCGTGGATATATGCAAGGCTGCAATGGGACTGAGAATTAGCTCATCCTTCAGTTTTGGTGGATTCACATTTAAGAGAACAAGCGGATCATCAGTCAAGAGAGAGGAAGAGGTGCTTACGGGCAATCTTCAAACATTGAAGATAAGAGTGCATGAGGGATATGAAGAGTTCACAATGGTTGGGAGAAGAGCAACAGCCATACTCAGAAAAGCAACCAGGAGATTGATTCAGCTGATAGTGAGTGGGAGAGAtGAACAGTCGATTGCCGAAGCAATAATTGTGGCCATGGTATTTTCACAAGAGGATTGTATGATAAAAGCAGTCAGAGGTGATCTGAATTTCGTCAATAGGGCGAATCAGCGATTGAATCCTATGCATCAACTTTTAAGACATTTTCAGAAGGATGCGAAAGTGCTTTTTCAAAATTGGGGAGTTGAACCTATCGACAATGTGATGGGAATGATTGGGATATTGCCAGACATGACTCCAAGCATCGAGATGTCAATGAGAGGAGTGAGAATCAGCAAAATGGGTGTAGATGAGTACTCCAGCACGGAGAGGGTAGTGGTGAGCATTGACCGTTTTTTGAGAATCCGGGACCAACGAGGAAATGTACTACTGTCTCCCGAGGAGGTCAGTGAAACACAGGGAACAGAGAAACTGACAATAACTTACTCATCGTCAATGATGTGGGAGATTAATGGTCCTGAATCAGTGTTGGTCAATACCTATCAATGGATCATCAGAAACTGGGAAACTGTTAAAATTCAGTGGTCCCAGAACCCTACAATGCTATACAATAAAATGGAATTTGAACCATTTCAGTCTTTAGTACCTAAGGCCATTAGAGGCCAATACAGTGGGTTTGTAAGAACTCTGTTCCAACAAATGAGGGATGTGCTTGGGACATTTGATACCGCACAGATAATAAAACTTCTTCCCTTCGCAGCCGCTCCACCAAAGCAAAGTAGAATGCAGTTCTCCTCATTTACTGTGAATGTGAGGGGATCAGGAATGAGAATACTTGTAAGGGGCAATTCTCCTGTATTCAACTATAACAAGGCCACGAAGAGACTCACAGTTCTCGGAAAGGATGCTGGCACTTTAACTGAAGACCCAGATGAAGGCACAGCTGGAGTGGAGTCCGCTGTTCTGAGGGGATTCCTCATTCTGGGCAAAGAAGACAAGAGATATGGGCCAGCACTAAGCATCAATGAACTGAGCAACCTTGCGAAAGGAGAGAAGGCTAATGTGCTAATTGGGCAAGGAGAtGTGGTGTTGGTAATGAAACGGAAACGGGACTCTAGCATACTTACTGACAGCCAGACAGCGACCAAAAGAATTCGGATGGCCATCAATTAGTGTCGAATAGTTTAAAAACGACCTTGTTTCTACTGAAGACACCTACCTGGCAACAAAAAATGTTCATTTCGGGCAAGAAAATAACCGCGCCTGCCGGCGGGGACCAGCCACAGGTCACCGCGACCTCCCGGGACCGTGACACGGCCAACTGTACCCAAAACCTGCCCCACGGCGCCCCCCCACCCCCACCCCACGGAGCCCCCAGGGCTATCTGG</v>
          </cell>
          <cell r="R42" t="str">
            <v xml:space="preserve"> </v>
          </cell>
        </row>
        <row r="43">
          <cell r="A43" t="str">
            <v>XF1630185</v>
          </cell>
          <cell r="B43" t="str">
            <v>CONDA221-01</v>
          </cell>
          <cell r="C43">
            <v>46106</v>
          </cell>
          <cell r="D43">
            <v>1009666452</v>
          </cell>
          <cell r="E43" t="str">
            <v>Duck_Swine_Horse supreme</v>
          </cell>
          <cell r="F43" t="str">
            <v>DNA Fragment - No Vector</v>
          </cell>
          <cell r="G43"/>
          <cell r="H43"/>
          <cell r="I43">
            <v>349</v>
          </cell>
          <cell r="J43" t="str">
            <v>200-400ng</v>
          </cell>
          <cell r="K43" t="str">
            <v>Lyophilized</v>
          </cell>
          <cell r="L43" t="str">
            <v>8. Sequencing Gene: First Round</v>
          </cell>
          <cell r="M43" t="str">
            <v>XF1630185</v>
          </cell>
          <cell r="N43" t="str">
            <v>Needs IDT Screening, Screen Result: PASS</v>
          </cell>
          <cell r="P43"/>
          <cell r="Q43" t="str">
            <v>TCACCCTCCTCACAAGCCACACCCCCACATAATTAATACCACGTAAATGCCAAAGATGAGGTAAGTCGTAACAAGGTAAGTGTACCGGAAGGTGTACTTAGAATACTCAAGACGTAGCTATAACCCCAAAGCACTCAGCTTACgCCTGAGAGATCCTGCCCTGAGGACAAATATCATTCTGAGGAGCTACGGTCATCACAAATCTACTATCAGCTATCCCTTATATCGGAACAGACCTCGTAGAATGAATCTGAGGGGGCTTCGATCCCCTATCAGCCCCACTTCTGGTGTTGACAACATGACTACTGCCACTAATACTCATAGCCAGCCAACACCATCTATCTAAGGA</v>
          </cell>
          <cell r="R43" t="str">
            <v xml:space="preserve"> </v>
          </cell>
        </row>
        <row r="44">
          <cell r="A44" t="str">
            <v>XF1630186</v>
          </cell>
          <cell r="B44" t="str">
            <v>CONDA221-02</v>
          </cell>
          <cell r="C44">
            <v>46106</v>
          </cell>
          <cell r="D44">
            <v>1009666452</v>
          </cell>
          <cell r="E44" t="str">
            <v>Sheep_Cow_Chicken supreme</v>
          </cell>
          <cell r="F44" t="str">
            <v>DNA Fragment - No Vector</v>
          </cell>
          <cell r="G44"/>
          <cell r="H44"/>
          <cell r="I44">
            <v>336</v>
          </cell>
          <cell r="J44" t="str">
            <v>200-400ng</v>
          </cell>
          <cell r="K44" t="str">
            <v>Lyophilized</v>
          </cell>
          <cell r="L44" t="str">
            <v>8. Sequencing Gene: First Round</v>
          </cell>
          <cell r="M44" t="str">
            <v>XF1630186</v>
          </cell>
          <cell r="N44" t="str">
            <v>Needs IDT Screening, Screen Result: PASS</v>
          </cell>
          <cell r="P44"/>
          <cell r="Q44" t="str">
            <v>ACTCCACAAGCCCACATAACAACCCATACAAGAAAAGCACAACCACCCACCCACGGACATGAGCGTTCATAAACCCAAAATCCCAATAACTCAACACAGAATTTGCACCCTAACCAAATATTACAAACACCACTAGCTAACATAACACGCCCATACACAGACCACAGAATGAATTACCTACGCAAGGGGTAATGTACATAACAAGCAATTCCCTACATTGGACACACCCTAGTAGAGTGAGCCTGAGGGGGATTTTCAGTCGACAACCCAACCCTTACCCGATTCTTCGCCTTACACTTCCTCCTCCCCTTTGCAATCGCAGGTATTACTATCATC</v>
          </cell>
          <cell r="R44" t="str">
            <v xml:space="preserve"> </v>
          </cell>
        </row>
        <row r="45">
          <cell r="A45" t="str">
            <v>XF1630187</v>
          </cell>
          <cell r="B45" t="str">
            <v>CONDA221-03</v>
          </cell>
          <cell r="C45">
            <v>46106</v>
          </cell>
          <cell r="D45">
            <v>1009666452</v>
          </cell>
          <cell r="E45" t="str">
            <v>Turkey_Goat supreme</v>
          </cell>
          <cell r="F45" t="str">
            <v>DNA Fragment - No Vector</v>
          </cell>
          <cell r="I45">
            <v>322</v>
          </cell>
          <cell r="J45" t="str">
            <v>200-400ng</v>
          </cell>
          <cell r="K45" t="str">
            <v>Lyophilized</v>
          </cell>
          <cell r="L45" t="str">
            <v>8. Sequencing Gene: First Round</v>
          </cell>
          <cell r="M45" t="str">
            <v>XF1630187</v>
          </cell>
          <cell r="N45" t="str">
            <v>Needs IDT Screening, Screen Result: PASS</v>
          </cell>
          <cell r="P45"/>
          <cell r="Q45" t="str">
            <v>CCATACATTACACTGCAGACACCACTCTTGCATTCTCTTCTGTGGCCTACACATGCCGAAACGTACAATACGGTTGACTCCTCCGTAACCTCCATGCGAATGGCGCCTCATTCTTCTTCATCTGCATCTTCCTACACATTGGACGCGGCCTATATTATGGTTCGTACCTATATAAAGAAGCCTGAAATACAGGAGTAGTCTTACTTCTCACCCTCATAGCAACCCCAATCCTAACCCAACTTAGATACCCACACAAACGCCAACACCACACAATATTACGTGTATGCAAGTACATTACACCGCTCGCCTACACACAAATACA</v>
          </cell>
          <cell r="R45" t="str">
            <v xml:space="preserve"> </v>
          </cell>
        </row>
        <row r="46">
          <cell r="A46" t="str">
            <v>XF1630188</v>
          </cell>
          <cell r="B46" t="str">
            <v>CONDA221-04</v>
          </cell>
          <cell r="C46">
            <v>46106</v>
          </cell>
          <cell r="D46">
            <v>1009666452</v>
          </cell>
          <cell r="E46" t="str">
            <v>PacificCod_AtlanticCod_AlaskaPollock supreme</v>
          </cell>
          <cell r="F46" t="str">
            <v>DNA Fragment - No Vector</v>
          </cell>
          <cell r="I46">
            <v>379</v>
          </cell>
          <cell r="J46" t="str">
            <v>200-400ng</v>
          </cell>
          <cell r="K46" t="str">
            <v>Lyophilized</v>
          </cell>
          <cell r="L46" t="str">
            <v>3. Fragment Assembly</v>
          </cell>
          <cell r="M46" t="str">
            <v>XF1630188</v>
          </cell>
          <cell r="N46" t="str">
            <v>Needs IDT Screening, Screen Result: PASS</v>
          </cell>
          <cell r="P46"/>
          <cell r="Q46" t="str">
            <v>GTTTGCCTACGCCACTCTACGCTCTATTCCTAATAAATTAGGTGGCGTACTTGCACTCCTATTCTCAATTCTAGTCCTTATAGTTGTGCCCTTCCTCCACACTTCAAAACCTAGGTGGCGTACTTGCACTCCTATTCTCGATTCTAGTCCTCATGGTTGTACCCTTTCTCCATACGTCAAAACAACGAGGTTTAACATTCCGCCCTCTTACCCAAATACTATTCTGAGTCCTCGTTGCAGATATACTAGTTCTTACATGAATTGGAGGCGTACCTGTAGAGCCGCCATCTTACGCTCTATTCCTAATAAACTAGGCGGTGTACTTGCACTCCTGTTCTCCATTCTAGTCCTTATGGTTGTACCCTTTCTCCATACTTCA</v>
          </cell>
          <cell r="R46" t="str">
            <v xml:space="preserve"> </v>
          </cell>
        </row>
        <row r="47">
          <cell r="A47" t="str">
            <v>XF1630189</v>
          </cell>
          <cell r="B47" t="str">
            <v>CONDA221-05</v>
          </cell>
          <cell r="C47">
            <v>46106</v>
          </cell>
          <cell r="D47">
            <v>1009666452</v>
          </cell>
          <cell r="E47" t="str">
            <v>CI-p Puc19</v>
          </cell>
          <cell r="F47" t="str">
            <v>DNA Fragment - No Vector</v>
          </cell>
          <cell r="I47">
            <v>209</v>
          </cell>
          <cell r="J47" t="str">
            <v>200-400ng</v>
          </cell>
          <cell r="K47" t="str">
            <v>Lyophilized</v>
          </cell>
          <cell r="L47" t="str">
            <v>8. Sequencing Gene: First Round</v>
          </cell>
          <cell r="M47" t="str">
            <v>XF1630189</v>
          </cell>
          <cell r="N47" t="str">
            <v>Needs IDT Screening, Screen Result: PASS</v>
          </cell>
          <cell r="P47"/>
          <cell r="Q47" t="str">
            <v>GAAGGTAACTGGCTTCAGCAGAGCGCAGATACCAAATACTGTTCTTCTAGTGTAGCCGTAGTTAGGCCACCACTTCAAGAACTCTGTAGCACCGCCTACATACCTCGCTCTGCTAATCCTGTTACCAGTGGCTGCTGCCAGTGGCGATAAGTCGTGTCTTACCGGGTTGGACTCAAGACGATAGTTACCGGATAAGGCGCAGCGGTCGG</v>
          </cell>
          <cell r="R47" t="str">
            <v xml:space="preserve"> </v>
          </cell>
        </row>
        <row r="48">
          <cell r="A48" t="str">
            <v>XV1630190</v>
          </cell>
          <cell r="B48" t="str">
            <v>USHE197-01</v>
          </cell>
          <cell r="C48">
            <v>46111</v>
          </cell>
          <cell r="D48">
            <v>20072357</v>
          </cell>
          <cell r="E48" t="str">
            <v>M1</v>
          </cell>
          <cell r="F48" t="str">
            <v>PRS316-SPO1</v>
          </cell>
          <cell r="G48" t="str">
            <v>HpaI/MluI</v>
          </cell>
          <cell r="H48" t="str">
            <v>Ampicillin</v>
          </cell>
          <cell r="I48">
            <v>497</v>
          </cell>
          <cell r="J48" t="str">
            <v>2-4ug</v>
          </cell>
          <cell r="K48" t="str">
            <v>Lyophilized</v>
          </cell>
          <cell r="L48" t="str">
            <v>7. Selecting Clones</v>
          </cell>
          <cell r="M48" t="str">
            <v>XV1630190</v>
          </cell>
          <cell r="N48" t="str">
            <v>Needs IDT Screening, Screen Result: PASS</v>
          </cell>
          <cell r="P48"/>
          <cell r="Q48" t="str">
            <v>GTTAACATCCTTATTCTTTTTTTATATTTTTATTTTTTTTATGTTTATTTTCTATTACTGATTTTCACAAAGAAAGGTAAAAAAAAACATACTTCAGCGtagcgcaccaCATATTTAAGTAAATGCACTCAGAGAAAGT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48" t="str">
            <v xml:space="preserve"> </v>
          </cell>
        </row>
        <row r="49">
          <cell r="A49" t="str">
            <v>XV1630191</v>
          </cell>
          <cell r="B49" t="str">
            <v>USHE197-02</v>
          </cell>
          <cell r="C49">
            <v>46111</v>
          </cell>
          <cell r="D49">
            <v>20072357</v>
          </cell>
          <cell r="E49" t="str">
            <v>M2</v>
          </cell>
          <cell r="F49" t="str">
            <v>PRS316-SPO1</v>
          </cell>
          <cell r="G49" t="str">
            <v>HpaI/MluI</v>
          </cell>
          <cell r="H49" t="str">
            <v>Ampicillin</v>
          </cell>
          <cell r="I49">
            <v>497</v>
          </cell>
          <cell r="J49" t="str">
            <v>2-4ug</v>
          </cell>
          <cell r="K49" t="str">
            <v>Lyophilized</v>
          </cell>
          <cell r="L49" t="str">
            <v>7. Selecting Clones</v>
          </cell>
          <cell r="M49" t="str">
            <v>XV1630191</v>
          </cell>
          <cell r="N49" t="str">
            <v>Needs IDT Screening, Screen Result: PASS</v>
          </cell>
          <cell r="P49"/>
          <cell r="Q49" t="str">
            <v>GTTAACATCCTTATTCTTTTTTTATATTTTTATTTTTTTTATGTTTATTTTCTATTACTGATTTTCACAAAGAAAGGTAAAAAAAAACATACTTCAGCGtagcgcaccaacgcgggcctTAAATGCACTCAGAGAAAGT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49" t="str">
            <v xml:space="preserve"> </v>
          </cell>
        </row>
        <row r="50">
          <cell r="A50" t="str">
            <v>XV1630192</v>
          </cell>
          <cell r="B50" t="str">
            <v>USHE197-03</v>
          </cell>
          <cell r="C50">
            <v>46111</v>
          </cell>
          <cell r="D50">
            <v>20072357</v>
          </cell>
          <cell r="E50" t="str">
            <v>M3</v>
          </cell>
          <cell r="F50" t="str">
            <v>PRS316-SPO1</v>
          </cell>
          <cell r="G50" t="str">
            <v>HpaI/MluI</v>
          </cell>
          <cell r="H50" t="str">
            <v>Ampicillin</v>
          </cell>
          <cell r="I50">
            <v>497</v>
          </cell>
          <cell r="J50" t="str">
            <v>2-4ug</v>
          </cell>
          <cell r="K50" t="str">
            <v>Lyophilized</v>
          </cell>
          <cell r="L50" t="str">
            <v>7. Selecting Clones</v>
          </cell>
          <cell r="M50" t="str">
            <v>XV1630192</v>
          </cell>
          <cell r="N50" t="str">
            <v>Needs IDT Screening, Screen Result: PASS</v>
          </cell>
          <cell r="P50"/>
          <cell r="Q50" t="str">
            <v>GTTAACATCCTTATTCTTTTTTTATATTTTTATTTTTTTTATGTTTATTTTCTATTACTGATTTTCACAAAGAAAGGTAAAAAAAAACATACTTCAGCGtagcgcaccaacgcgggcctgcccgtacagCAGAGAAAGT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50" t="str">
            <v xml:space="preserve"> </v>
          </cell>
        </row>
        <row r="51">
          <cell r="A51" t="str">
            <v>XV1630193</v>
          </cell>
          <cell r="B51" t="str">
            <v>USHE197-04</v>
          </cell>
          <cell r="C51">
            <v>46111</v>
          </cell>
          <cell r="D51">
            <v>20072357</v>
          </cell>
          <cell r="E51" t="str">
            <v>M4</v>
          </cell>
          <cell r="F51" t="str">
            <v>PRS316-SPO1</v>
          </cell>
          <cell r="G51" t="str">
            <v>HpaI/MluI</v>
          </cell>
          <cell r="H51" t="str">
            <v>Ampicillin</v>
          </cell>
          <cell r="I51">
            <v>497</v>
          </cell>
          <cell r="J51" t="str">
            <v>2-4ug</v>
          </cell>
          <cell r="K51" t="str">
            <v>Lyophilized</v>
          </cell>
          <cell r="L51" t="str">
            <v>7. Selecting Clones</v>
          </cell>
          <cell r="M51" t="str">
            <v>XV1630193</v>
          </cell>
          <cell r="N51" t="str">
            <v>Needs IDT Screening, Screen Result: PASS</v>
          </cell>
          <cell r="P51"/>
          <cell r="Q51" t="str">
            <v>GTTAACATCCTTATTCTTTTTTTATATTTTTATTTTTTTTATGTTTATTTTCTATTACTGATTTTCACAAAGAAAGGTAAAAAAAAACATACTTCAGCGtagcgcaccaacgcgggcctgcccgtacagactctccctg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51" t="str">
            <v xml:space="preserve"> </v>
          </cell>
        </row>
        <row r="52">
          <cell r="A52" t="str">
            <v>XV1630194</v>
          </cell>
          <cell r="B52" t="str">
            <v>USHE197-05</v>
          </cell>
          <cell r="C52">
            <v>46111</v>
          </cell>
          <cell r="D52">
            <v>20072357</v>
          </cell>
          <cell r="E52" t="str">
            <v>D4</v>
          </cell>
          <cell r="F52" t="str">
            <v>PRS316-SPO1</v>
          </cell>
          <cell r="G52" t="str">
            <v>HpaI/MluI</v>
          </cell>
          <cell r="H52" t="str">
            <v>Ampicillin</v>
          </cell>
          <cell r="I52">
            <v>497</v>
          </cell>
          <cell r="J52" t="str">
            <v>2-4ug</v>
          </cell>
          <cell r="K52" t="str">
            <v>Lyophilized</v>
          </cell>
          <cell r="L52" t="str">
            <v>7. Selecting Clones</v>
          </cell>
          <cell r="M52" t="str">
            <v>XV1630194</v>
          </cell>
          <cell r="N52" t="str">
            <v>Needs IDT Screening, Screen Result: PASS</v>
          </cell>
          <cell r="P52"/>
          <cell r="Q52" t="str">
            <v>GTTAACATCCTTATTCTTTTTTTATATTTTTATTTTTTTTATGTTTATTTTCTATTACTGATTTTCACAAAGAAAGGTAAAAAAAAACATACTTCAGCGGCTATACAACCATATTTAAGTAAATGCACTactctccctg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52" t="str">
            <v xml:space="preserve"> </v>
          </cell>
        </row>
        <row r="53">
          <cell r="A53" t="str">
            <v>XV1630195</v>
          </cell>
          <cell r="B53" t="str">
            <v>USHE197-06</v>
          </cell>
          <cell r="C53">
            <v>46111</v>
          </cell>
          <cell r="D53">
            <v>20072357</v>
          </cell>
          <cell r="E53" t="str">
            <v>stabilized-mutant</v>
          </cell>
          <cell r="F53" t="str">
            <v>PRS316-SPO1</v>
          </cell>
          <cell r="G53" t="str">
            <v>HpaI/MluI</v>
          </cell>
          <cell r="H53" t="str">
            <v>Ampicillin</v>
          </cell>
          <cell r="I53">
            <v>509</v>
          </cell>
          <cell r="J53" t="str">
            <v>2-4ug</v>
          </cell>
          <cell r="K53" t="str">
            <v>Lyophilized</v>
          </cell>
          <cell r="L53" t="str">
            <v>7. Selecting Clones</v>
          </cell>
          <cell r="M53" t="str">
            <v>XV1630195</v>
          </cell>
          <cell r="N53" t="str">
            <v>Needs IDT Screening, Screen Result: PASS</v>
          </cell>
          <cell r="P53"/>
          <cell r="Q53" t="str">
            <v>GTTAACATCCTTATTCTTTTTTTATATTTTTATTTTTTTTATGTTTATTTTCTATTACTGATTTTCACAAAGAAAGGTAAAAAAAAACATACTTCAGCGGCTATACAACCATATTTAAGTAAATtgGCACTCAGAGtttAGTATACAAGTAAAAAACCTAAGTAAAGACATAAATATCCCAAAATAATGCAAAAACTCCTCTTTGTCTTTTCTGTGTTATTGACAGTAGTACTAGCAACAGCACCATTTCAGGTACAATGTCCTAGCTCTCCACTTATTAGGGAGGCCAAAGTAAGTTAAACTCTgagTGCCAaTTTAACAAATATGGttgtataGCCAAAACTAACCGAATATACCAAAACTTCGTATTCCTTTGTTTATTAGCATGAACTCTGTCCAGAAGAAACCTTGTATCTGAAGAAAAAAAAAATTAAAACGAAGAATAAACTGATTCAGTTTTTAAAATCCTTGACAGAGGCAAAGTTTAGTTCGAAGTTTTATAAACGCGT</v>
          </cell>
          <cell r="R53" t="str">
            <v xml:space="preserve"> </v>
          </cell>
        </row>
        <row r="54">
          <cell r="A54" t="str">
            <v>XP1630196</v>
          </cell>
          <cell r="B54" t="str">
            <v>UMON288</v>
          </cell>
          <cell r="C54">
            <v>46111</v>
          </cell>
          <cell r="D54">
            <v>1009868099</v>
          </cell>
          <cell r="E54" t="str">
            <v>B56g1-12-380</v>
          </cell>
          <cell r="F54" t="str">
            <v>pUC57-Amp</v>
          </cell>
          <cell r="G54" t="str">
            <v>Blunt End</v>
          </cell>
          <cell r="H54" t="str">
            <v>Ampicillin</v>
          </cell>
          <cell r="I54">
            <v>1126</v>
          </cell>
          <cell r="J54" t="str">
            <v>2-4ug</v>
          </cell>
          <cell r="K54" t="str">
            <v>Lyophilized</v>
          </cell>
          <cell r="L54" t="str">
            <v>7. Selecting Clones</v>
          </cell>
          <cell r="M54" t="str">
            <v>XP1630196</v>
          </cell>
          <cell r="N54" t="str">
            <v>Needs IDT Screening, Screen Result: PASS</v>
          </cell>
          <cell r="P54"/>
          <cell r="Q54" t="str">
            <v>CCATGGATGTGGTGGATGCGGCCAACTCCAATGGGCCTTTCCAGCCCGTGGTCCTTCTCCATATTCGAGATGTTCCTCCTGCTGATCAAGAGAAGCTTTTTATCCAGAAGTTACGTCAGTGTTGCGTCCTCTTTGACTTTGTTTCTGATCCACTAAGTGACCTAAAGTGGAAGGAAGTAAAACGAGCTGCTTTAAGTGAAATGGTAGAATATATCACCCATAATCGGAATGTGATCACAGAGCCTATTTACCCAGAAGTAGTCCATATGTTTGCAGTTAACATGTTTCGAACATTACCACCTTCCTCCAATCCTACGGGAGCGGAATTTGACCCGGAGGAAGATGAACCAACGTTAGAAGCAGCCTGGCCTCATCTACAGCTTGTTTATGAATTTTTCTTAAGATTTTTAGAGTCTCCAGATTTCCAACCTAATATAGCGAAGAAATATATTGATCAGAAGTTTGTATTGCAGCTTTTAGAGCTCTTTGACAGTGAAGATCCTCGGGAGAGAGATTTTCTTAAAACCACCCTTCACAGAATCTATGGGAAATTCCTAGGCTTGAGAGCTTACATCAGAAAACAGATAAATAATATATTTTATAGGTTTATTTATGAAACAGAGCATCATAATGGCATAGCAGAGTTACTGGAAATATTGGGAAGTATAATTAATGGATTTGCCTTACCACTAAAAGAAGAGCACAAGATTTTCTTATTGAAGGTGTTACTACCTTTGCACAAAGTGAAATCTCTGAGTGTCTACCATCCCCAGCTGGCATACTGTGTAGTGCAGTTTTTAGAAAAGGACAGCACCCTCACGGAACCAGTGGTGATGGCACTTCTCAAATACTGGCCAAAGACTCACAGTCCAAAAGAAGTAATGTTCTTAAACGAATTAGAAGAGATTTTAGATGTCATTGAACCATCAGAATTTGTGAAGATCATGGAACCCCTCTTCCGGCAGTTGGCCAAATGTGTCTCCAGCCCACACTTCCAGGTGGCAGAGCGAGCTCTCTATTACTGGAATAATGAATACATCATGAGTTTAATCAGTGACAACGCAGCGAAGATTCTGCCCATCATGTTTCCTTCCTTGTACCGCAACTCAAAGACCTGAGCGGCCGC</v>
          </cell>
          <cell r="R54" t="str">
            <v xml:space="preserve"> </v>
          </cell>
        </row>
        <row r="55">
          <cell r="A55" t="str">
            <v>XV1630197</v>
          </cell>
          <cell r="B55" t="str">
            <v>NIH838-01-5'fix</v>
          </cell>
          <cell r="C55">
            <v>46111</v>
          </cell>
          <cell r="D55" t="str">
            <v>repair from sg</v>
          </cell>
          <cell r="E55" t="str">
            <v>GFP-G259D-Psy1-Nat-trimmed intermediate fixed</v>
          </cell>
          <cell r="F55" t="str">
            <v>NIH838-01</v>
          </cell>
          <cell r="H55" t="str">
            <v>Ampicillin</v>
          </cell>
          <cell r="I55">
            <v>312</v>
          </cell>
          <cell r="J55" t="str">
            <v>2-4ug</v>
          </cell>
          <cell r="K55" t="str">
            <v>Lyophilized</v>
          </cell>
          <cell r="L55" t="str">
            <v>1. Synthesizing Oligos</v>
          </cell>
          <cell r="M55" t="str">
            <v>XV1630197</v>
          </cell>
          <cell r="N55" t="str">
            <v>Needs IDT Screening, Screen Result: PASS</v>
          </cell>
          <cell r="P55"/>
          <cell r="Q55" t="str">
            <v>CAGCATTCCTTTCTCGTTTCCAATGGCATTCAAACCATGATTGCTTTTAGTGTTAAAAAACAAAAACAAAAAAGAACGATTAATTCCGAGACAGTCAACTCCATCAACTACGAAAAACAATTAAATATTTTTTATGCATTTCTTGAAATAAACTACAGCAAAAATCTTTCTTTTCAACCAGAATATCAAGAAAACTTCACTCCTTATTCGTACCTCATACAAGTCCAAATAACGAGGAGAGTATCCTATTGTGATTTTAACAAACTCCAACTTCCTTGGAATTCAATTTTTAAGTATTAGGCGTATATTTTT</v>
          </cell>
          <cell r="R55" t="str">
            <v xml:space="preserve"> </v>
          </cell>
        </row>
        <row r="56">
          <cell r="A56" t="str">
            <v>XV1630198</v>
          </cell>
          <cell r="B56" t="str">
            <v>NIH838-02-5'fix</v>
          </cell>
          <cell r="C56">
            <v>46111</v>
          </cell>
          <cell r="D56" t="str">
            <v>repair from sg</v>
          </cell>
          <cell r="E56" t="str">
            <v>GFP-WT-Psy1-Nat-trimmed intermediate fixed</v>
          </cell>
          <cell r="F56" t="str">
            <v>NIH838-02</v>
          </cell>
          <cell r="H56" t="str">
            <v>Ampicillin</v>
          </cell>
          <cell r="I56">
            <v>312</v>
          </cell>
          <cell r="J56" t="str">
            <v>2-4ug</v>
          </cell>
          <cell r="K56" t="str">
            <v>Lyophilized</v>
          </cell>
          <cell r="L56" t="str">
            <v>1. Synthesizing Oligos</v>
          </cell>
          <cell r="M56" t="str">
            <v>XV1630198</v>
          </cell>
          <cell r="N56" t="str">
            <v>Needs IDT Screening, Screen Result: PASS</v>
          </cell>
          <cell r="P56"/>
          <cell r="Q56" t="str">
            <v>CAGCATTCCTTTCTCGTTTCCAATGGCATTCAAACCATGATTGCTTTTAGTGTTAAAAAACAAAAACAAAAAAGAACGATTAATTCCGAGACAGTCAACTCCATCAACTACGAAAAACAATTAAATATTTTTTATGCATTTCTTGAAATAAACTACAGCAAAAATCTTTCTTTTCAACCAGAATATCAAGAAAACTTCACTCCTTATTCGTACCTCATACAAGTCCAAATAACGAGGAGAGTATCCTATTGTGATTTTAACAAACTCCAACTTCCTTGGAATTCAATTTTTAAGTATTAGGCGTATATTTTT</v>
          </cell>
          <cell r="R56" t="str">
            <v xml:space="preserve"> </v>
          </cell>
        </row>
        <row r="57">
          <cell r="A57" t="str">
            <v>XV1630199</v>
          </cell>
          <cell r="B57" t="str">
            <v>NIH838-01fix</v>
          </cell>
          <cell r="C57">
            <v>46111</v>
          </cell>
          <cell r="D57" t="str">
            <v>repair from sg</v>
          </cell>
          <cell r="E57" t="str">
            <v>GFP-G259D-Psy1-Nat-trimmed fixed</v>
          </cell>
          <cell r="F57" t="str">
            <v>NIH838-01-5'fix</v>
          </cell>
          <cell r="H57" t="str">
            <v>Ampicillin</v>
          </cell>
          <cell r="I57">
            <v>193</v>
          </cell>
          <cell r="J57" t="str">
            <v>2-4ug</v>
          </cell>
          <cell r="K57" t="str">
            <v>Lyophilized</v>
          </cell>
          <cell r="L57" t="str">
            <v>1. Synthesizing Oligos</v>
          </cell>
          <cell r="M57" t="str">
            <v>XV1630199</v>
          </cell>
          <cell r="N57" t="str">
            <v>Needs IDT Screening, Screen Result: PASS</v>
          </cell>
          <cell r="P57"/>
          <cell r="Q57" t="str">
            <v>ACCTTTGAAACGTTTACCTTTTTAGCATATTTCCCGTTTGAACGGTCCGATTGTGATTTATGGACTCTGGAAAGTCTTTTCATTTTCACTCATCGCTCGTTACTTAAGTTGCAGTGTAAAATATTTGGACTACACGTCTGGCATTGTTATTTTGTTTATTCATGGCATGCTGCTTCGTTCTTTACCCCAGCAG</v>
          </cell>
          <cell r="R57" t="str">
            <v xml:space="preserve"> </v>
          </cell>
        </row>
        <row r="58">
          <cell r="A58" t="str">
            <v>XV1630200</v>
          </cell>
          <cell r="B58" t="str">
            <v>NIH838-02fix</v>
          </cell>
          <cell r="C58">
            <v>46111</v>
          </cell>
          <cell r="D58" t="str">
            <v>repair from sg</v>
          </cell>
          <cell r="E58" t="str">
            <v>GFP-WT-Psy1-Nat-trimmed fixed</v>
          </cell>
          <cell r="F58" t="str">
            <v>NIH838-02-5'fix</v>
          </cell>
          <cell r="H58" t="str">
            <v>Ampicillin</v>
          </cell>
          <cell r="I58">
            <v>193</v>
          </cell>
          <cell r="J58" t="str">
            <v>2-4ug</v>
          </cell>
          <cell r="K58" t="str">
            <v>Lyophilized</v>
          </cell>
          <cell r="L58" t="str">
            <v>1. Synthesizing Oligos</v>
          </cell>
          <cell r="M58" t="str">
            <v>XV1630200</v>
          </cell>
          <cell r="N58" t="str">
            <v>Needs IDT Screening, Screen Result: PASS</v>
          </cell>
          <cell r="P58"/>
          <cell r="Q58" t="str">
            <v>ACCTTTGAAACGTTTACCTTTTTAGCATATTTCCCGTTTGAACGGTCCGATTGTGATTTATGGACTCTGGAAAGTCTTTTCATTTTCACTCATCGCTCGTTACTTAAGTTGCAGTGTAAAATATTTGGACTACACGTCTGGCATTGTTATTTTGTTTATTCATGGCATGCTGCTTCGTTCTTTACCCCAGCAG</v>
          </cell>
          <cell r="R58" t="str">
            <v xml:space="preserve"> </v>
          </cell>
        </row>
        <row r="59">
          <cell r="A59" t="str">
            <v>XV1630201</v>
          </cell>
          <cell r="B59" t="str">
            <v>UDAL142</v>
          </cell>
          <cell r="C59">
            <v>46112</v>
          </cell>
          <cell r="D59">
            <v>1009879966</v>
          </cell>
          <cell r="E59" t="str">
            <v>PpS16MalIso</v>
          </cell>
          <cell r="F59" t="str">
            <v>pET-28a(+)</v>
          </cell>
          <cell r="G59" t="str">
            <v>NdeI/XhoI</v>
          </cell>
          <cell r="H59" t="str">
            <v>Kanamycin</v>
          </cell>
          <cell r="I59">
            <v>765</v>
          </cell>
          <cell r="J59" t="str">
            <v>2-4ug</v>
          </cell>
          <cell r="K59" t="str">
            <v>Lyophilized</v>
          </cell>
          <cell r="L59" t="str">
            <v>7. Selecting Clones</v>
          </cell>
          <cell r="M59" t="str">
            <v>XV1630201</v>
          </cell>
          <cell r="N59" t="str">
            <v>Needs IDT Screening, Screen Result: PASS</v>
          </cell>
          <cell r="P59"/>
          <cell r="Q59" t="str">
            <v>CATATGGAAGCTATGAAGGTTGTACGCGTTGGTCAAATTGTCCCAAGCTCTAATATCACTATGGAAACGGAGATCCCGGCGCTGCTTAAGGCGCGGGAGCTGGTAGCTCCTGAGCGATTCACTTTCCATTCATCTCGTATGCGTATGAAACATGTAACGAAGGAGGAACTAGCTCGAATGGATGGCGACAGTGATCGTTGTGCACTCGAACTATCAGACGCTCGCGTCGACGTGATGGGATACGCTTGCCTGGTCGCGATTATGTCCATGGGGCATGGTTATCACCGAGTATCGGCGGAGCGCTTACGAAATGTGACCGAGAATAATGATGCAGCAACACCAATTATTACCTCGGCGGGGGCGCTTATAGATGGCATCCGTGCTCTTGGTGCGAAGCGCGTGGCTGTGGTTACTCCTTACATGAAACCGTTAACAGAATTGGTAGTTGATTACATTCGACATGAAGGTATCGAAGTAGGTGACTATCGAGCACTAGAAATCTCGGATAATCTTGCGGTTGCGGCCCATGATCCAATGAATTTGCCTGGAATAATTGCGAGCATGCGCACGGACGACGTTGATGCAATTGTTATTTCTGCATGTGTCCAGATGCCATCATTAAATGCCATCACAATGGTTGAGGCGCAAACCAGAAAGCCAGTTATTTCAGCCGCAGTTGCTACTACTTGGGCGATGTTAACTGCATTAGATCTCCCTACACGAGTTCCTGGTGGTGGAACTCTTCTTTCAGGTGCCTACCTCGAG</v>
          </cell>
          <cell r="R59" t="str">
            <v xml:space="preserve"> </v>
          </cell>
        </row>
        <row r="60">
          <cell r="A60" t="str">
            <v>XP1640202</v>
          </cell>
          <cell r="B60" t="str">
            <v>UHN107-01</v>
          </cell>
          <cell r="C60">
            <v>46112</v>
          </cell>
          <cell r="D60">
            <v>1009880061</v>
          </cell>
          <cell r="E60" t="str">
            <v>mCard9-Y-to-F</v>
          </cell>
          <cell r="F60" t="str">
            <v>pUC57-Amp</v>
          </cell>
          <cell r="G60" t="str">
            <v>Blunt End</v>
          </cell>
          <cell r="H60" t="str">
            <v>Ampicillin</v>
          </cell>
          <cell r="I60">
            <v>832</v>
          </cell>
          <cell r="J60" t="str">
            <v>2-4ug</v>
          </cell>
          <cell r="K60" t="str">
            <v>Lyophilized</v>
          </cell>
          <cell r="L60" t="str">
            <v>7. Selecting Clones</v>
          </cell>
          <cell r="M60" t="str">
            <v>XP1640202</v>
          </cell>
          <cell r="N60" t="str">
            <v>Needs IDT Screening, Screen Result: PASS</v>
          </cell>
          <cell r="P60"/>
          <cell r="Q60" t="str">
            <v>agAGGACCGGCCACAAGGGCTTCGTGGCCTTCCTGGAGAGCCTGGAGCTGTTCTTCCCCCAGCTGTTCCGGAAGGTGACCGGCAAGGAGCCCGCCAGAGTGTTCAGCATGATCATCGACGCCAGCGGCGAGAGCGGCCTGACCCAGCTGCTGATGACCGAGGTGATGAAGCTGCAGAAGAAGGTGCAGGACCTGACCGCCCTGCTGAGCTCCAAGGACGACTTCATCAAGGAGCTGCGCGTGAAGGACAGCCTGCTGCGGAAGCACCAGGAGAGGGTGCAGAGACTGAAGGAGGAGTGCGAGCTGTCCAGCGCCGAGCTGAAGCGGTGCAAGGACGAGAACTACGAGCTGGCCATGTGCCTGGCCCACCTGAGCGAGGAGAAGGGCGCCGCCCTGATGCGGAATAGGGACCTGCAGCTGGAGGTGGACAGACTGCGGCACAGCCTGATGAAGGCCGAGGACGACTGCAAGGTGGAGCGGAAGCACACACTGAAGCTGCGGCACGCCATGGAGCAGAGACCCAGCCAGGAGCTGCTGTGGGAGCTGCAGCAGGAGAAGGACCTGCTGCAGGCTCGGGTGCAGGAGCTGCAGGTGAGCGTGCAGGAGGGCAAGCTGGACCGGAACAGCCCCTACATCCAGGTGCTGGAGGAGGATTGGCGGCAGGCCCTGCAGGAGCACCAGAAGCAGGTGAGCACCATCTTCAGCCTGCGGAAGGACCTGCGGCAGGCCGAGACCCTGCGGGCCCGGTGCACCGAGGAGAAGGAGATGTTCGAGCTGCAGTGCCTGGCCCTGAGGAAGGACGCCAAGATGTTCAAGGACAGAATCGAGGCCat</v>
          </cell>
          <cell r="R60" t="str">
            <v xml:space="preserve"> </v>
          </cell>
        </row>
        <row r="61">
          <cell r="A61" t="str">
            <v>XP1640203</v>
          </cell>
          <cell r="B61" t="str">
            <v>UHN107-02</v>
          </cell>
          <cell r="C61">
            <v>46112</v>
          </cell>
          <cell r="D61">
            <v>1009880061</v>
          </cell>
          <cell r="E61" t="str">
            <v>mCard9-Y76-addback</v>
          </cell>
          <cell r="F61" t="str">
            <v>pUC57-Amp</v>
          </cell>
          <cell r="G61" t="str">
            <v>Blunt End</v>
          </cell>
          <cell r="H61" t="str">
            <v>Ampicillin</v>
          </cell>
          <cell r="I61">
            <v>832</v>
          </cell>
          <cell r="J61" t="str">
            <v>2-4ug</v>
          </cell>
          <cell r="K61" t="str">
            <v>Lyophilized</v>
          </cell>
          <cell r="L61" t="str">
            <v>7. Selecting Clones</v>
          </cell>
          <cell r="M61" t="str">
            <v>XP1640203</v>
          </cell>
          <cell r="N61" t="str">
            <v>Needs IDT Screening, Screen Result: PASS</v>
          </cell>
          <cell r="P61"/>
          <cell r="Q61" t="str">
            <v>agCGCACCGGCCACAAGGGCTACGTGGCCTTCCTGGAGAGCCTGGAGCTGTTCTTCCCCCAGCTGTTCAGGAAGGTGACCGGCAAGGAGCCCGCCAGGGTGTTCAGCATGATCATCGACGCCAGCGGCGAGAGCGGCCTGACCCAGCTGCTGATGACCGAGGTGATGAAGCTGCAGAAGAAGGTGCAGGACCTGACCGCCCTGCTGAGCAGCAAGGACGACTTCATCAAGGAGCTGCGGGTGAAGGACAGCCTGCTGCGGAAGCACCAGGAGAGAGTGCAGCGGCTGAAGGAGGAGTGCGAGCTGAGCAGCGCCGAGCTGAAGAGATGCAAGGACGAGAACTACGAGCTGGCCATGTGCCTGGCCCACCTGAGCGAGGAGAAGGGCGCCGCCCTGATGAGAAACAGGGACCTGCAGCTGGAGGTGGACAGACTGCGGCACAGCCTGATGAAGGCCGAGGACGACTGCAAGGTGGAGAGAAAGCACACCCTGAAGCTGCGGCACGCCATGGAGCAGCGCCCTAGCCAGGAGCTGCTGTGGGAGCTGCAGCAGGAGAAGGACCTGCTGCAGGCCAGAGTGCAGGAGCTGCAGGTGAGCGTGCAGGAGGGCAAGCTGGACCGGAACAGCCCCTACATCCAGGTGCTGGAGGAGGACTGGCGGCAGGCCCTGCAGGAGCACCAGAAGCAGGTGAGCACCATCTTCTCCCTGAGGAAGGACCTGCGGCAGGCCGAGACCCTGAGAGCCCGGTGCACCGAGGAGAAGGAGATGTTCGAGCTGCAGTGCCTGGCCCTGCGGAAGGACGCCAAGATGTTCAAGGACCGGATCGAGGCCat</v>
          </cell>
          <cell r="R61" t="str">
            <v xml:space="preserve"> </v>
          </cell>
        </row>
        <row r="62">
          <cell r="A62" t="str">
            <v>XP1640204</v>
          </cell>
          <cell r="B62" t="str">
            <v>UHN107-03</v>
          </cell>
          <cell r="C62">
            <v>46112</v>
          </cell>
          <cell r="D62">
            <v>1009880061</v>
          </cell>
          <cell r="E62" t="str">
            <v>mCard9-Y86-addback</v>
          </cell>
          <cell r="F62" t="str">
            <v>pUC57-Amp</v>
          </cell>
          <cell r="G62" t="str">
            <v>Blunt End</v>
          </cell>
          <cell r="H62" t="str">
            <v>Ampicillin</v>
          </cell>
          <cell r="I62">
            <v>832</v>
          </cell>
          <cell r="J62" t="str">
            <v>2-4ug</v>
          </cell>
          <cell r="K62" t="str">
            <v>Lyophilized</v>
          </cell>
          <cell r="L62" t="str">
            <v>7. Selecting Clones</v>
          </cell>
          <cell r="M62" t="str">
            <v>XP1640204</v>
          </cell>
          <cell r="N62" t="str">
            <v>Needs IDT Screening, Screen Result: PASS</v>
          </cell>
          <cell r="P62"/>
          <cell r="Q62" t="str">
            <v>agAGGACCGGCCACAAGGGCTTCGTGGCCTTCCTGGAGAGCCTGGAGCTGTACTTCCCCCAGCTGTTCAGGAAGGTGACCGGCAAGGAGCCCGCCAGAGTGTTCAGCATGATCATCGACGCCAGCGGCGAGAGCGGCCTGACCCAGCTGCTGATGACCGAGGTGATGAAGCTGCAGAAGAAGGTGCAGGACCTGACCGCCCTGCTGAGCAGCAAGGACGACTTCATCAAGGAGCTGCGGGTGAAGGACAGCCTGCTGCGGAAGCACCAGGAGCGGGTGCAGCGGCTGAAGGAGGAGTGCGAGCTGAGCAGCGCCGAGCTGAAGCGGTGCAAGGACGAGAACTACGAGCTGGCCATGTGCCTGGCCCACCTGAGCGAGGAGAAGGGCGCCGCCCTGATGCGGAACCGGGACCTGCAGCTGGAGGTGGACAGACTGCGGCACAGCCTGATGAAGGCCGAGGACGACTGCAAGGTGGAGCGGAAGCACACCCTGAAGCTGCGGCACGCCATGGAGCAGAGACCCAGCCAGGAGCTGCTGTGGGAGCTGCAGCAGGAGAAGGACCTGCTGCAGGCCAGAGTGCAGGAGCTGCAGGTGAGCGTGCAGGAGGGCAAGCTGGACCGGAACAGCCCTTACATCCAGGTGCTGGAGGAGGACTGGCGGCAGGCCCTGCAGGAGCACCAGAAGCAGGTGAGCACCATCTTCAGCCTGCGGAAGGACCTGCGGCAGGCCGAGACCCTGCGGGCCCGGTGCACCGAGGAGAAGGAGATGTTCGAGCTGCAGTGCCTGGCCCTGCGGAAGGACGCCAAGATGTTCAAGGACCGGATCGAGGCCat</v>
          </cell>
          <cell r="R62" t="str">
            <v xml:space="preserve"> </v>
          </cell>
        </row>
        <row r="63">
          <cell r="A63" t="str">
            <v>XP1640205</v>
          </cell>
          <cell r="B63" t="str">
            <v>UHN107-04</v>
          </cell>
          <cell r="C63">
            <v>46112</v>
          </cell>
          <cell r="D63">
            <v>1009880061</v>
          </cell>
          <cell r="E63" t="str">
            <v>mCard9-Y87-addback</v>
          </cell>
          <cell r="F63" t="str">
            <v>pUC57-Amp</v>
          </cell>
          <cell r="G63" t="str">
            <v>Blunt End</v>
          </cell>
          <cell r="H63" t="str">
            <v>Ampicillin</v>
          </cell>
          <cell r="I63">
            <v>832</v>
          </cell>
          <cell r="J63" t="str">
            <v>2-4ug</v>
          </cell>
          <cell r="K63" t="str">
            <v>Lyophilized</v>
          </cell>
          <cell r="L63" t="str">
            <v>7. Selecting Clones</v>
          </cell>
          <cell r="M63" t="str">
            <v>XP1640205</v>
          </cell>
          <cell r="N63" t="str">
            <v>Needs IDT Screening, Screen Result: PASS</v>
          </cell>
          <cell r="P63"/>
          <cell r="Q63" t="str">
            <v>agCGCACCGGCCACAAGGGCTTCGTGGCCTTCCTGGAGAGCCTGGAGCTGTTCTACCCCCAGCTGTTCCGGAAGGTGACCGGCAAGGAGCCCGCCAGAGTGTTCAGCATGATCATCGACGCCAGCGGCGAGAGCGGCCTGACCCAGCTGCTGATGACCGAGGTGATGAAGCTGCAGAAGAAGGTGCAGGACCTGACCGCCCTGCTGAGCAGCAAGGACGACTTCATCAAGGAGCTGAGGGTGAAGGACTCCCTGCTGAGGAAGCACCAGGAGCGCGTGCAGCGGCTGAAGGAGGAGTGCGAGCTGAGCAGCGCCGAGCTGAAGCGGTGCAAGGACGAGAACTACGAGCTGGCCATGTGCCTGGCCCACCTGAGCGAGGAGAAGGGCGCCGCCCTGATGAGAAACCGGGACCTGCAGCTGGAGGTGGACCGGCTGCGGCACTCCCTGATGAAGGCCGAGGACGACTGCAAGGTGGAGCGGAAGCACACCCTGAAGCTGCGGCACGCCATGGAGCAGAGGCCCAGCCAGGAGCTGCTGTGGGAGCTGCAGCAGGAGAAGGACCTGCTGCAGGCCAGAGTGCAGGAGCTGCAGGTGAGCGTGCAGGAGGGCAAGCTGGACCGGAACAGCCCCTACATCCAGGTGCTGGAGGAGGACTGGCGGCAGGCCCTGCAGGAGCACCAGAAGCAGGTGAGCACCATCTTCAGCCTGAGGAAGGACCTGCGGCAGGCCGAGACCCTGCGGGCCCGGTGCACCGAGGAGAAGGAGATGTTCGAGCTGCAGTGCCTGGCCCTGCGGAAGGACGCCAAGATGTTCAAGGACCGGATCGAGGCCat</v>
          </cell>
          <cell r="R63" t="str">
            <v xml:space="preserve"> </v>
          </cell>
        </row>
        <row r="64">
          <cell r="A64" t="str">
            <v>XP1640206</v>
          </cell>
          <cell r="B64" t="str">
            <v>UHN107-05</v>
          </cell>
          <cell r="C64">
            <v>46112</v>
          </cell>
          <cell r="D64">
            <v>1009880061</v>
          </cell>
          <cell r="E64" t="str">
            <v>mCard9-Y91-addback</v>
          </cell>
          <cell r="F64" t="str">
            <v>pUC57-Amp</v>
          </cell>
          <cell r="G64" t="str">
            <v>Blunt End</v>
          </cell>
          <cell r="H64" t="str">
            <v>Ampicillin</v>
          </cell>
          <cell r="I64">
            <v>832</v>
          </cell>
          <cell r="J64" t="str">
            <v>2-4ug</v>
          </cell>
          <cell r="K64" t="str">
            <v>Lyophilized</v>
          </cell>
          <cell r="L64" t="str">
            <v>7. Selecting Clones</v>
          </cell>
          <cell r="M64" t="str">
            <v>XP1640206</v>
          </cell>
          <cell r="N64" t="str">
            <v>Needs IDT Screening, Screen Result: PASS</v>
          </cell>
          <cell r="P64"/>
          <cell r="Q64" t="str">
            <v>agCGGACCGGCCACAAGGGCTTCGTGGCCTTCCTGGAGAGCCTGGAGCTGTTCTTCCCCCAGCTGTACCGCAAGGTGACCGGCAAGGAGCCCGCCAGAGTGTTCAGCATGATCATCGACGCCAGCGGCGAGAGCGGCCTGACCCAGCTGCTGATGACCGAGGTGATGAAGCTGCAGAAGAAGGTGCAGGACCTGACCGCCCTGCTGAGCTCCAAGGACGACTTCATCAAGGAGCTGAGAGTGAAGGACAGCCTGCTGCGGAAGCACCAGGAGCGGGTGCAGCGGCTGAAGGAGGAGTGCGAGCTGAGCAGCGCCGAGCTGAAGCGGTGCAAGGACGAGAACTACGAGCTGGCCATGTGCCTGGCCCACCTGAGCGAGGAGAAGGGCGCCGCCCTGATGAGAAACCGGGACCTGCAGCTGGAGGTGGACAGGCTGCGGCACAGCCTGATGAAGGCCGAGGACGACTGCAAGGTGGAGCGGAAGCACACCCTGAAGCTGAGACACGCCATGGAGCAGCGGCCCAGCCAGGAGCTGCTGTGGGAGCTGCAGCAGGAGAAGGACCTGCTGCAGGCCAGAGTGCAGGAGCTGCAGGTGAGCGTGCAGGAGGGCAAGCTGGACCGGAACTCCCCCTACATCCAGGTGCTGGAGGAGGACTGGCGGCAGGCCCTGCAGGAGCACCAGAAGCAGGTGAGCACCATCTTCAGCCTGCGGAAGGACCTGCGGCAGGCCGAGACCCTGCGGGCCCGGTGCACCGAGGAGAAGGAGATGTTCGAGCTGCAGTGCCTGGCCCTGCGGAAGGACGCCAAGATGTTCAAGGACCGGATCGAGGCCat</v>
          </cell>
          <cell r="R64" t="str">
            <v xml:space="preserve"> </v>
          </cell>
        </row>
        <row r="65">
          <cell r="A65" t="str">
            <v>XP1640207</v>
          </cell>
          <cell r="B65" t="str">
            <v>UHN107-06</v>
          </cell>
          <cell r="C65">
            <v>46112</v>
          </cell>
          <cell r="D65">
            <v>1009880061</v>
          </cell>
          <cell r="E65" t="str">
            <v>mCard9-Y339-addback</v>
          </cell>
          <cell r="F65" t="str">
            <v>pUC57-Amp</v>
          </cell>
          <cell r="G65" t="str">
            <v>Blunt End</v>
          </cell>
          <cell r="H65" t="str">
            <v>Ampicillin</v>
          </cell>
          <cell r="I65">
            <v>832</v>
          </cell>
          <cell r="J65" t="str">
            <v>2-4ug</v>
          </cell>
          <cell r="K65" t="str">
            <v>Lyophilized</v>
          </cell>
          <cell r="L65" t="str">
            <v>7. Selecting Clones</v>
          </cell>
          <cell r="M65" t="str">
            <v>XP1640207</v>
          </cell>
          <cell r="N65" t="str">
            <v>Needs IDT Screening, Screen Result: PASS</v>
          </cell>
          <cell r="P65"/>
          <cell r="Q65" t="str">
            <v>agCGGACCGGCCACAAGGGCTTCGTGGCCTTCCTGGAGAGCCTGGAGCTGTTCTTCCCCCAGCTGTTCCGGAAGGTGACCGGCAAGGAGCCCGCCAGAGTGTTCAGCATGATCATCGACGCCAGCGGCGAGAGCGGCCTGACCCAGCTGCTGATGACCGAGGTGATGAAGCTGCAGAAGAAGGTGCAGGACCTGACCGCCCTGCTGAGCAGCAAGGACGACTTCATCAAGGAGCTGCGGGTGAAGGACAGCCTGCTGAGGAAGCACCAGGAGCGGGTGCAGCGGCTGAAGGAGGAGTGCGAGCTGAGCTCCGCCGAGCTGAAGCGGTGCAAGGACGAGAACTACGAGCTGGCCATGTGCCTGGCCCACCTGAGCGAGGAGAAGGGCGCCGCCCTGATGCGGAACCGCGACCTGCAGCTGGAGGTGGACCGGCTGAGGCACAGCCTGATGAAGGCCGAGGACGACTGCAAGGTGGAGCGGAAGCACACCCTGAAGCTGCGGCACGCCATGGAGCAGCGGCCCAGCCAGGAGCTGCTGTGGGAGCTGCAGCAGGAGAAGGACCTGCTGCAGGCCAGAGTGCAGGAGCTGCAGGTGAGCGTGCAGGAGGGCAAGCTGGACAGGAACAGCCCCTACATCCAGGTGCTGGAGGAGGACTGGAGACAGGCCCTGCAGGAGCACCAGAAGCAGGTGAGCACCATCTTCAGCCTGCGGAAGGACCTGAGACAGGCCGAGACCCTGAGGGCCCGCTGCACCGAGGAGAAGGAGATGTTCGAGCTGCAGTGCCTGGCCCTGCGGAAGGACGCCAAGATGTACAAGGACAGAATCGAGGCCat</v>
          </cell>
          <cell r="R65" t="str">
            <v xml:space="preserve"> </v>
          </cell>
        </row>
        <row r="66">
          <cell r="A66" t="str">
            <v>ZV2640208</v>
          </cell>
          <cell r="B66" t="str">
            <v>MTSU002-13</v>
          </cell>
          <cell r="C66">
            <v>46113</v>
          </cell>
          <cell r="D66">
            <v>20069612</v>
          </cell>
          <cell r="E66" t="str">
            <v>BDNF FL - mScar3</v>
          </cell>
          <cell r="F66" t="str">
            <v>pBID-UASC</v>
          </cell>
          <cell r="G66" t="str">
            <v>EcoRI/XbaI</v>
          </cell>
          <cell r="H66" t="str">
            <v>Ampicillin</v>
          </cell>
          <cell r="I66">
            <v>1541</v>
          </cell>
          <cell r="J66" t="str">
            <v>2-4ug</v>
          </cell>
          <cell r="K66" t="str">
            <v>Lyophilized + gel</v>
          </cell>
          <cell r="L66" t="str">
            <v>Subclone from gene received from Sg: MTSU002-01</v>
          </cell>
          <cell r="M66" t="str">
            <v>ZV2640208</v>
          </cell>
          <cell r="N66" t="str">
            <v>Subclone only</v>
          </cell>
          <cell r="Q66" t="str">
            <v>GGAATTGGGAATTCGTgctagcgctaccggactcagatctcgagGCCACCATGACCATCCTTTTCCTTACTATGGTTATTTCATACTTCGGTTGCATGAAGGCGGCGCCCATGAAAGAAGTAAACGTCCACGGACAAGGCAACTTGGCCTACCCAGGTGTGCGGACCCATGGGACTCTGGAGAGCGTGAATGGGCCCAGGGCAGGTTCGAGAGGTCTGACGACGACATCACTGGCTGACACTTTTGAGCACGTCATCGAAGAGCTGCTGGATGAGGACCAGAAGGTTCGGCCCAACGAAGAAAACCATAAGGACGCGGACTTGTACACTTCCCGGGTGATGCTCAGCAGTCAAGTGCCTTTGGAGCCTCCTCTACTCTTTCTGCTGGAGGAATACAAAAATTACCTGGATGCCGCAAACATGTCTATGAGGGTTCGGCGCCACTCCGACCCTGCCCGCCGTGGGGAGCTGAGCGTGTGTGACAGTATTAGCGAGTGGGTCACAGCGGCAGATAAAAAGACTGCAGTGGACATGTCTGGCGGGACGGTCACAGTCCTAGAGAAAGTCCCGGTATCCAAAGGCCAACTGAAGCAGTATTTCTACGAGACCAAGTGTAATCCCATGGGTTACACCAAGGAAGGCTGCAGGGGCATAGACAAAAGGCACTGGAACTCGCAATGCCGAACTACCCAATCGTATGTTCGGGCCCTTACTATGGATAGCAAAAAGAGAATTGGCTGGCGATTCATAAGGATAGACACTTCCTGTGTATGTACACTGACCATTAAAAGGGGAAGA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agcggccgcTCGAGGGTACCTCTAGAGGATCTTtaa</v>
          </cell>
          <cell r="R66" t="str">
            <v xml:space="preserve"> </v>
          </cell>
        </row>
        <row r="67">
          <cell r="A67" t="str">
            <v>ZV2640209</v>
          </cell>
          <cell r="B67" t="str">
            <v>MTSU002-14</v>
          </cell>
          <cell r="C67">
            <v>46113</v>
          </cell>
          <cell r="D67">
            <v>20069612</v>
          </cell>
          <cell r="E67" t="str">
            <v>Myosuppressin-mScar3</v>
          </cell>
          <cell r="F67" t="str">
            <v>pBID-UASC</v>
          </cell>
          <cell r="G67" t="str">
            <v>EcoRI/XbaI</v>
          </cell>
          <cell r="H67" t="str">
            <v>Ampicillin</v>
          </cell>
          <cell r="I67">
            <v>1082</v>
          </cell>
          <cell r="J67" t="str">
            <v>2-4ug</v>
          </cell>
          <cell r="K67" t="str">
            <v>Lyophilized + gel</v>
          </cell>
          <cell r="L67" t="str">
            <v>Subclone from gene received from Sg: MTSU002-02</v>
          </cell>
          <cell r="M67" t="str">
            <v>ZV2640209</v>
          </cell>
          <cell r="N67" t="str">
            <v>Subclone only</v>
          </cell>
          <cell r="Q67" t="str">
            <v>GGAATTGGGAATTCGTgctagcgctaccggactcagatctcgagGCCACCATGTCCTTCGCTCAGTTCTTTGTCGCCTGCTGCCTGGCCATCGTCCTCCTGGCCGTGTCCAACACACGGGCCGCAGTTCAGGGTCCACCTCTATGCCAGTCTGGCATCGTCGAGGAGATGCCGCCGCACATCCGGAAGGTGTGCCAGGCCCTGGAGAACTCCGATCAACTGACGTCGGCGCTGAAGTCCTACATCAACAACGAGGCATCCGCTTTGGTGGCCAACTCTGATGACCTGTTGAAGAACTACAACAAGCGAACGGATGTCGATCACGTCTTCCTGCGTTTC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agcggccgcTCGAGGGTACCTCTAGAGGATCTTtaa</v>
          </cell>
          <cell r="R67" t="str">
            <v xml:space="preserve"> </v>
          </cell>
        </row>
        <row r="68">
          <cell r="A68" t="str">
            <v>ZV2640210</v>
          </cell>
          <cell r="B68" t="str">
            <v>MTSU002-15</v>
          </cell>
          <cell r="C68">
            <v>46113</v>
          </cell>
          <cell r="D68">
            <v>20069612</v>
          </cell>
          <cell r="E68" t="str">
            <v>Pal1-eGFP</v>
          </cell>
          <cell r="F68" t="str">
            <v>pBID-UASC</v>
          </cell>
          <cell r="G68" t="str">
            <v>EcoRI/XbaI</v>
          </cell>
          <cell r="H68" t="str">
            <v>Ampicillin</v>
          </cell>
          <cell r="I68">
            <v>2446</v>
          </cell>
          <cell r="J68" t="str">
            <v>2-4ug</v>
          </cell>
          <cell r="K68" t="str">
            <v>Lyophilized + gel</v>
          </cell>
          <cell r="L68" t="str">
            <v>Subclone from gene received from Sg: MTSU002-03</v>
          </cell>
          <cell r="M68" t="str">
            <v>ZV2640210</v>
          </cell>
          <cell r="N68" t="str">
            <v>Subclone only</v>
          </cell>
          <cell r="Q68" t="str">
            <v>TGGGAATTCGCCAGCATTCGGGCAGCTATATATATACATTCGAAGGGACACCAAAGCAATGAAATCCACCGACAGCGCCAAGTGCCTGGGCAGCAAGTCCTTGGCAATCTGTTGCCTGCTCCTCCACCTCCTACTCTGCATTAGACCAGCAGTGTCGCAGACTCAAAGTCCACAGCGTTATCTGCATAATGTGGACAGCAATAGCAACAACAACGAACGCCTGCACCAGATACTCAAGGGATCCGGAGCAGGATCGGGAGCCACGCAGCTCAACTGGCCACAGCCTCCGAAGCAAACTGTCCCCAACGTCAAGACTGAGCTGGCCAAGCTAAACAACACTTACGTTTACCAGAACGCCTGGCCGGCAAACAATGTGAAACTGGGTGCAGTGACAGCTGTAAGTTTCGACAAGGCCGGCAACGTGGTAATCTTCCATCGCGTGAATCGCGTCTGGGGACAGACCACATTTGATAACAGGAACCAGTACCAGGAGAAGTACCGCGGGCCCATCAGGGAGAGCACCATCCTGGCACTGGAGCCCGCAACAGGCAAAGTGCAATACGACTGGGGCAAGAACTTTTTTTACATGCCACATGGCCTGACCGTGGACCCCGAAGACAACGTTTGGTTAACAGACGTCGCCATGCACCAGGTTTTTAAGTTCCCGCCCCGTGGAGGCGATGGAAAACCAGCGTTGACTCTGGGCGATGCCTTCCAGCCCGGTTCAGGACGCAAATTCTGCAAGCCCACCTCGGTGGCGGTGTTGGATAATGGGGACTTCTTCGTGGCGGATGGATACTGCAATGCTCGCATCCTTAAGTACTCACGAAAAGGCGAATTGATCCTCTTCTGGGGACAGAACACCTTCTCCGGCATATCCTACGACGTTGCGCCCCAGAACTTCTTCGCGATTCCCCACGCTCTGACTCTCGTCCCGGAGTTGCAGTTACTCTGCGCAGCTGATAGGGAGAATGGGCGCGTACAGTGCTTCCTCTCGAGCAACGGCACCTTTCACTCACAGTACCACAACCAGCTGATAGGGGACCGCCTCTTCAGCATGGCTTACACCCCGGCAGCGGGTGGGCAGCTGGTCATTGTCAACGGACCAACCGCCGAGTTAGGCATCCATCCTGAGCATTATAACGAGGTGCACGGTTTCGTGCTAAGCATGCGCAGCAAGCAACTGGTGTCTAAGTTCGGCCCCAATAACCTGCAGTTCCAGAACCCGCACGACGTGGCCGTTACAGCCGACGGCAATGAGATCTACGTGGCCGAGCTGAATCCAATGCGTATCCACAAGTTCGTCCACCGATCTCTGGCCAAGCCAATGTCCTTGTCGGCCAGCAAGGACTCTAGGGACAGCGCTATTAGCCAAGCTGTGGGAGGGGACCAGGTTCCCGCAGTGGCTGTGCACCACCCGAGCGGCAAAGCAATCCTGGTGGCTTCGCTCATGCTCCTTTTCGCCGGCTCTACCTTTGCCTTGGCTTTGATCTTTGCGCGGCGGAGGAAACGAGGTTGCCTGCCTTTCGGAGCACGCGGTCGTCGCCACGCGTGGGAGAAAAGCGATGGCTTCAAGCTGGGCGGACTTCTCGATCGGGATCGCAACGGATTCGAGAAGCTGGACCAGCAGGCCAGCGACGAGGAGCAGGAGACGAAGACACTGGCGAGTGCCCAGTACGCCGGCGGCGGCGGCGGCTCT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CACCGGTCCACGTGATCTAGAGGATCT</v>
          </cell>
          <cell r="R68" t="str">
            <v xml:space="preserve"> </v>
          </cell>
        </row>
        <row r="69">
          <cell r="A69" t="str">
            <v>ZV2640211</v>
          </cell>
          <cell r="B69" t="str">
            <v>MTSU002-16</v>
          </cell>
          <cell r="C69">
            <v>46113</v>
          </cell>
          <cell r="D69">
            <v>20069612</v>
          </cell>
          <cell r="E69" t="str">
            <v>Pal1-mScar</v>
          </cell>
          <cell r="F69" t="str">
            <v>pBID-UASC</v>
          </cell>
          <cell r="G69" t="str">
            <v>EcoRI/XbaI</v>
          </cell>
          <cell r="H69" t="str">
            <v>Ampicillin</v>
          </cell>
          <cell r="I69">
            <v>2446</v>
          </cell>
          <cell r="J69" t="str">
            <v>2-4ug</v>
          </cell>
          <cell r="K69" t="str">
            <v>Lyophilized + gel</v>
          </cell>
          <cell r="L69" t="str">
            <v>Subclone from gene received from Sg: MTSU002-04</v>
          </cell>
          <cell r="M69" t="str">
            <v>ZV2640211</v>
          </cell>
          <cell r="N69" t="str">
            <v>Subclone only</v>
          </cell>
          <cell r="Q69" t="str">
            <v>TGGGAATTCGCCAGCATTCGGGCAGCTATATATATACATTCGAAGGGACACCAAAGCAATGAAATCCACCGACAGCGCCAAGTGCCTGGGCAGCAAGTCCTTGGCAATCTGTTGCCTGCTCCTCCACCTCCTACTCTGCATTAGACCAGCAGTGTCGCAGACTCAAAGTCCACAGCGTTATCTGCATAATGTGGACAGCAATAGCAACAACAACGAACGCCTGCACCAGATACTCAAGGGATCCGGAGCAGGATCGGGAGCCACGCAGCTCAACTGGCCACAGCCTCCGAAGCAAACTGTCCCCAACGTCAAGACTGAGCTGGCCAAGCTAAACAACACTTACGTTTACCAGAACGCCTGGCCGGCAAACAATGTGAAACTGGGTGCAGTGACAGCTGTAAGTTTCGACAAGGCCGGCAACGTGGTAATCTTCCATCGCGTGAATCGCGTCTGGGGACAGACCACATTTGATAACAGGAACCAGTACCAGGAGAAGTACCGCGGGCCCATCAGGGAGAGCACCATCCTGGCACTGGAGCCCGCAACAGGCAAAGTGCAATACGACTGGGGCAAGAACTTTTTTTACATGCCACATGGCCTGACCGTGGACCCCGAAGACAACGTTTGGTTAACAGACGTCGCCATGCACCAGGTTTTTAAGTTCCCGCCCCGTGGAGGCGATGGAAAACCAGCGTTGACTCTGGGCGATGCCTTCCAGCCCGGTTCAGGACGCAAATTCTGCAAGCCCACCTCGGTGGCGGTGTTGGATAATGGGGACTTCTTCGTGGCGGATGGATACTGCAATGCTCGCATCCTTAAGTACTCACGAAAAGGCGAATTGATCCTCTTCTGGGGACAGAACACCTTCTCCGGCATATCCTACGACGTTGCGCCCCAGAACTTCTTCGCGATTCCCCACGCTCTGACTCTCGTCCCGGAGTTGCAGTTACTCTGCGCAGCTGATAGGGAGAATGGGCGCGTACAGTGCTTCCTCTCGAGCAACGGCACCTTTCACTCACAGTACCACAACCAGCTGATAGGGGACCGCCTCTTCAGCATGGCTTACACCCCGGCAGCGGGTGGGCAGCTGGTCATTGTCAACGGACCAACCGCCGAGTTAGGCATCCATCCTGAGCATTATAACGAGGTGCACGGTTTCGTGCTAAGCATGCGCAGCAAGCAACTGGTGTCTAAGTTCGGCCCCAATAACCTGCAGTTCCAGAACCCGCACGACGTGGCCGTTACAGCCGACGGCAATGAGATCTACGTGGCCGAGCTGAATCCAATGCGTATCCACAAGTTCGTCCACCGATCTCTGGCCAAGCCAATGTCCTTGTCGGCCAGCAAGGACTCTAGGGACAGCGCTATTAGCCAAGCTGTGGGAGGGGACCAGGTTCCCGCAGTGGCTGTGCACCACCCGAGCGGCAAAGCAATCCTGGTGGCTTCGCTCATGCTCCTTTTCGCCGGCTCTACCTTTGCCTTGGCTTTGATCTTTGCGCGGCGGAGGAAACGAGGTTGCCTGCCTTTCGGAGCACGCGGTCGTCGCCACGCGTGGGAGAAAAGCGATGGCTTCAAGCTGGGCGGACTTCTCGATCGGGATCGCAACGGATTCGAGAAGCTGGACCAGCAGGCCAGCGACGAGGAGCAGGAGACGAAGACACTGGCGAGTGCCCAGTACGCCGGCGGCGGCGGCGGCTCT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CACCGGTCCACGTGAagcggccgcTCGAGGGTACCTCTAGAGGATCTTtaa</v>
          </cell>
          <cell r="R69" t="str">
            <v xml:space="preserve"> </v>
          </cell>
        </row>
        <row r="70">
          <cell r="A70" t="str">
            <v>ZV2640212</v>
          </cell>
          <cell r="B70" t="str">
            <v>MTSU002-17</v>
          </cell>
          <cell r="C70">
            <v>46113</v>
          </cell>
          <cell r="D70">
            <v>20069612</v>
          </cell>
          <cell r="E70" t="str">
            <v>Phm-GFP</v>
          </cell>
          <cell r="F70" t="str">
            <v>pBID-UASC</v>
          </cell>
          <cell r="G70" t="str">
            <v>EcoRI/XbaI</v>
          </cell>
          <cell r="H70" t="str">
            <v>Ampicillin</v>
          </cell>
          <cell r="I70">
            <v>1911</v>
          </cell>
          <cell r="J70" t="str">
            <v>2-4ug</v>
          </cell>
          <cell r="K70" t="str">
            <v>Lyophilized + gel</v>
          </cell>
          <cell r="L70" t="str">
            <v>Subclone from gene received from Sg: MTSU002-05</v>
          </cell>
          <cell r="M70" t="str">
            <v>ZV2640212</v>
          </cell>
          <cell r="N70" t="str">
            <v>Subclone only</v>
          </cell>
          <cell r="Q70" t="str">
            <v>TTGGGAATTCGTgctagcgctaccggactcagatctcgagATGCCACGCATATCCGAAATAGCCGCTTCCGTGGGGCTGCTCCTGCTTATCGGAGTGATCAGTGTGGATGGCCTTGTGAAAGAGGGGGATTACCAAAACTCCCTTTATCAACAGAATCTCGAGTCGAACTCCGCAACAGGCGCAACGGCTTCGTTTCCATTCCTGATGCCCAACGTTTCGCCCCAGACCCCCGATCTGTACTTGTGCACGCCCATCAAGGTCGACCCAACTACCACCTACTATATTGTTGGCTTCAATCCTAATGCCACGATGAACACGGCCCACCATATGCTGCTCTACGGATGCGGAGAGCCCGGAACCTCGAAGACCACCTGGAACTGTGGCGAGATGAACCGAGCTTCCCAAGAAGAGTCTGCCAGTCCTTGCGGACCCCACTCCAATTCCCAGATCGTATACGCTTGGGCCAGAGACGCCCAAAAGTTAAATCTGCCCGAGGGAGTGGGTTTCAAGGTGGGCAAGAACTCGCCAATCAAGTACCTTGTGCTGCAAGTTCACTACGCGCACATTGATAAGTTCAAAGATGGCTCCACTGATGATTCTGGTGTGTTTTTGGATTACACAGAAGAGCCTCGGAAAAAGCTGGCTGGCACTCTGCTGCTGGGCACTGACGGACAGATTCCGGCGATGAAGACGGAGCACCTGGAAACGGCCTGCGAGGTGAACGAGCAGAAGGTGCTGCATCCTTTTGCGTACCGGGTGCACACCCACGGCCTGGGAAAGGTCGTTTCCGGCTACCGGGTGAGGACAAACAGCGACGGCGAACAGGAGTGGCTGCAGCTGGGCAAGAGAGATCCCCTCACGCCCCAGATGTTCTATAACACCAGCAACACAGACCCCATAATCGAGGGAGATAAGATCGCCGTGAGGTGTACTATGCAGAGCACTCGCCATCGGACTACCAAAATAGGTCCCACGAACGAGGACGAGATGTGCAACTTCTATCTCATGTACTACGTGGATCACGGGGAGACACTAAACATGAAGTTCTGCTTCAGCCAGGGCGCCCCCTACTACTTCTGGTCCAATCCCGACTCCGGCCTACACAATATCCCACATATCGAGGCGAGCACCTTGcgggatcc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gcggccgcTCGAGGGTACCTCTAGAATACCAAAC</v>
          </cell>
          <cell r="R70" t="str">
            <v xml:space="preserve"> </v>
          </cell>
        </row>
        <row r="71">
          <cell r="A71" t="str">
            <v>ZV2640213</v>
          </cell>
          <cell r="B71" t="str">
            <v>MTSU002-18</v>
          </cell>
          <cell r="C71">
            <v>46113</v>
          </cell>
          <cell r="D71">
            <v>20069612</v>
          </cell>
          <cell r="E71" t="str">
            <v>Phm-mScar</v>
          </cell>
          <cell r="F71" t="str">
            <v>pBID-UASC</v>
          </cell>
          <cell r="G71" t="str">
            <v>EcoRI/XbaI</v>
          </cell>
          <cell r="H71" t="str">
            <v>Ampicillin</v>
          </cell>
          <cell r="I71">
            <v>1879</v>
          </cell>
          <cell r="J71" t="str">
            <v>2-4ug</v>
          </cell>
          <cell r="K71" t="str">
            <v>Lyophilized + gel</v>
          </cell>
          <cell r="L71" t="str">
            <v>Subclone from gene received from Sg: MTSU002-06</v>
          </cell>
          <cell r="M71" t="str">
            <v>ZV2640213</v>
          </cell>
          <cell r="N71" t="str">
            <v>Subclone only</v>
          </cell>
          <cell r="Q71" t="str">
            <v>TTGGGAATTCGTgctagcgctaccggactcagatctcgagATGCCACGCATATCCGAAATAGCCGCTTCCGTGGGGCTGCTCCTGCTTATCGGAGTGATCAGTGTGGATGGCCTTGTGAAAGAGGGGGATTACCAAAACTCCCTTTATCAACAGAATCTCGAGTCGAACTCCGCAACAGGCGCAACGGCTTCGTTTCCATTCCTGATGCCCAACGTTTCGCCCCAGACCCCCGATCTGTACTTGTGCACGCCCATCAAGGTCGACCCAACTACCACCTACTATATTGTTGGCTTCAATCCTAATGCCACGATGAACACGGCCCACCATATGCTGCTCTACGGATGCGGAGAGCCCGGAACCTCGAAGACCACCTGGAACTGTGGCGAGATGAACCGAGCTTCCCAAGAAGAGTCTGCCAGTCCTTGCGGACCCCACTCCAATTCCCAGATCGTATACGCTTGGGCCAGAGACGCCCAAAAGTTAAATCTGCCCGAGGGAGTGGGTTTCAAGGTGGGCAAGAACTCGCCAATCAAGTACCTTGTGCTGCAAGTTCACTACGCGCACATTGATAAGTTCAAAGATGGCTCCACTGATGATTCTGGTGTGTTTTTGGATTACACAGAAGAGCCTCGGAAAAAGCTGGCTGGCACTCTGCTGCTGGGCACTGACGGACAGATTCCGGCGATGAAGACGGAGCACCTGGAAACGGCCTGCGAGGTGAACGAGCAGAAGGTGCTGCATCCTTTTGCGTACCGGGTGCACACCCACGGCCTGGGAAAGGTCGTTTCCGGCTACCGGGTGAGGACAAACAGCGACGGCGAACAGGAGTGGCTGCAGCTGGGCAAGAGAGATCCCCTCACGCCCCAGATGTTCTATAACACCAGCAACACAGACCCCATAATCGAGGGAGATAAGATCGCCGTGAGGTGTACTATGCAGAGCACTCGCCATCGGACTACCAAAATAGGTCCCACGAACGAGGACGAGATGTGCAACTTCTATCTCATGTACTACGTGGATCACGGGGAGACACTAAACATGAAGTTCTGCTTCAGCCAGGGCGCCCCCTACTACTTCTGGTCCAATCCCGACTCCGGCCTACACAATATCCCACATATCGAGGCGAGCACCTTG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agcggccgcTCGAGGGTACCTCTAGAGGATCTTtaa</v>
          </cell>
          <cell r="R71" t="str">
            <v xml:space="preserve"> </v>
          </cell>
        </row>
        <row r="72">
          <cell r="A72" t="str">
            <v>ZV2640214</v>
          </cell>
          <cell r="B72" t="str">
            <v>MTSU002-19</v>
          </cell>
          <cell r="C72">
            <v>46113</v>
          </cell>
          <cell r="D72">
            <v>20069612</v>
          </cell>
          <cell r="E72" t="str">
            <v>Syt 4 phosphodeficiency - with eGFP</v>
          </cell>
          <cell r="F72" t="str">
            <v>pBID-UASC</v>
          </cell>
          <cell r="G72" t="str">
            <v>EcoRI/XbaI</v>
          </cell>
          <cell r="H72" t="str">
            <v>Ampicillin</v>
          </cell>
          <cell r="I72">
            <v>2237</v>
          </cell>
          <cell r="J72" t="str">
            <v>2-4ug</v>
          </cell>
          <cell r="K72" t="str">
            <v>Lyophilized + gel</v>
          </cell>
          <cell r="L72" t="str">
            <v>Subclone from gene received from Sg: MTSU002-07</v>
          </cell>
          <cell r="M72" t="str">
            <v>ZV2640214</v>
          </cell>
          <cell r="N72" t="str">
            <v>Subclone only</v>
          </cell>
          <cell r="Q72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cc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GCCTCCTAATGCGCTCTAGAGGAT</v>
          </cell>
          <cell r="R72" t="str">
            <v xml:space="preserve"> </v>
          </cell>
        </row>
        <row r="73">
          <cell r="A73" t="str">
            <v>ZV2640215</v>
          </cell>
          <cell r="B73" t="str">
            <v>MTSU002-20</v>
          </cell>
          <cell r="C73">
            <v>46113</v>
          </cell>
          <cell r="D73">
            <v>20069612</v>
          </cell>
          <cell r="E73" t="str">
            <v>Syt 4 phosphomimetic - with GFP</v>
          </cell>
          <cell r="F73" t="str">
            <v>pBID-UASC</v>
          </cell>
          <cell r="G73" t="str">
            <v>EcoRI/XbaI</v>
          </cell>
          <cell r="H73" t="str">
            <v>Ampicillin</v>
          </cell>
          <cell r="I73">
            <v>2237</v>
          </cell>
          <cell r="J73" t="str">
            <v>2-4ug</v>
          </cell>
          <cell r="K73" t="str">
            <v>Lyophilized + gel</v>
          </cell>
          <cell r="L73" t="str">
            <v>Subclone from gene received from Sg: MTSU002-08</v>
          </cell>
          <cell r="M73" t="str">
            <v>ZV2640215</v>
          </cell>
          <cell r="N73" t="str">
            <v>Subclone only</v>
          </cell>
          <cell r="Q73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AG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GCCTCCTAATGCGCTCTAGAGGAT</v>
          </cell>
          <cell r="R73" t="str">
            <v xml:space="preserve">  </v>
          </cell>
        </row>
        <row r="74">
          <cell r="A74" t="str">
            <v>ZV2640216</v>
          </cell>
          <cell r="B74" t="str">
            <v>MTSU002-21</v>
          </cell>
          <cell r="C74">
            <v>46113</v>
          </cell>
          <cell r="D74">
            <v>20069612</v>
          </cell>
          <cell r="E74" t="str">
            <v>Syt 4 phosphodeficiency - with myc</v>
          </cell>
          <cell r="F74" t="str">
            <v>pBID-UASC</v>
          </cell>
          <cell r="G74" t="str">
            <v>EcoRI/XbaI</v>
          </cell>
          <cell r="H74" t="str">
            <v>Ampicillin</v>
          </cell>
          <cell r="I74">
            <v>1775</v>
          </cell>
          <cell r="J74" t="str">
            <v>2-4ug</v>
          </cell>
          <cell r="K74" t="str">
            <v>Lyophilized + gel</v>
          </cell>
          <cell r="L74" t="str">
            <v>Subclone from gene received from Sg: MTSU002-09</v>
          </cell>
          <cell r="M74" t="str">
            <v>ZV2640216</v>
          </cell>
          <cell r="N74" t="str">
            <v>Subclone only</v>
          </cell>
          <cell r="Q74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cc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GAGCAAAAGCTCATTTCTGAAGAGGACTTGAATGAAATGGAGCAAAAGCTCATTTCTGAAGAGGACTTGAATGAAATGGAGCAAAAGCTCATTTCTGAAGAGGACTTGAATGAAATGGAGCAAAAGCTCATTTCTGAAGAGGACTTGAATGAAATGGAGCAAAAGCTCATTTCTGAAGAGGACTTGAATGAAATGGAGAGCTTGGGCGACCTCACCATGGAGCAAAAGCTCATTTCTGAAGAGGACTTGtaaagcggccgcTCGAGGGTACCTCTAGAGGAT</v>
          </cell>
          <cell r="R74" t="str">
            <v xml:space="preserve">  </v>
          </cell>
        </row>
        <row r="75">
          <cell r="A75" t="str">
            <v>ZV2640217</v>
          </cell>
          <cell r="B75" t="str">
            <v>MTSU002-22</v>
          </cell>
          <cell r="C75">
            <v>46113</v>
          </cell>
          <cell r="D75">
            <v>20069612</v>
          </cell>
          <cell r="E75" t="str">
            <v>Syt 4 phosphomimetic - with myc</v>
          </cell>
          <cell r="F75" t="str">
            <v>pBID-UASC</v>
          </cell>
          <cell r="G75" t="str">
            <v>EcoRI/XbaI</v>
          </cell>
          <cell r="H75" t="str">
            <v>Ampicillin</v>
          </cell>
          <cell r="I75">
            <v>1775</v>
          </cell>
          <cell r="J75" t="str">
            <v>2-4ug</v>
          </cell>
          <cell r="K75" t="str">
            <v>Lyophilized + gel</v>
          </cell>
          <cell r="L75" t="str">
            <v>Subclone from gene received from Sg: MTSU002-10</v>
          </cell>
          <cell r="M75" t="str">
            <v>ZV2640217</v>
          </cell>
          <cell r="N75" t="str">
            <v>Subclone only</v>
          </cell>
          <cell r="Q75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AG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GAGCAAAAGCTCATTTCTGAAGAGGACTTGAATGAAATGGAGCAAAAGCTCATTTCTGAAGAGGACTTGAATGAAATGGAGCAAAAGCTCATTTCTGAAGAGGACTTGAATGAAATGGAGCAAAAGCTCATTTCTGAAGAGGACTTGAATGAAATGGAGCAAAAGCTCATTTCTGAAGAGGACTTGAATGAAATGGAGAGCTTGGGCGACCTCACCATGGAGCAAAAGCTCATTTCTGAAGAGGACTTGtaaagcggccgcTCGAGGGTACCTCTAGAGGAT</v>
          </cell>
          <cell r="R75" t="str">
            <v xml:space="preserve">  </v>
          </cell>
        </row>
        <row r="76">
          <cell r="A76" t="str">
            <v>ZV2640218</v>
          </cell>
          <cell r="B76" t="str">
            <v>MTSU002-23</v>
          </cell>
          <cell r="C76">
            <v>46113</v>
          </cell>
          <cell r="D76">
            <v>20069612</v>
          </cell>
          <cell r="E76" t="str">
            <v>Syt4 OE -myc</v>
          </cell>
          <cell r="F76" t="str">
            <v>pBID-UASC</v>
          </cell>
          <cell r="G76" t="str">
            <v>EcoRI/XbaI</v>
          </cell>
          <cell r="H76" t="str">
            <v>Ampicillin</v>
          </cell>
          <cell r="I76">
            <v>1775</v>
          </cell>
          <cell r="J76" t="str">
            <v>2-4ug</v>
          </cell>
          <cell r="K76" t="str">
            <v>Lyophilized + gel</v>
          </cell>
          <cell r="L76" t="str">
            <v>Subclone from gene received from Sg: MTSU002-11</v>
          </cell>
          <cell r="M76" t="str">
            <v>ZV2640218</v>
          </cell>
          <cell r="N76" t="str">
            <v>Subclone only</v>
          </cell>
          <cell r="Q76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TCG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GAGCAAAAGCTCATTTCTGAAGAGGACTTGAATGAAATGGAGCAAAAGCTCATTTCTGAAGAGGACTTGAATGAAATGGAGCAAAAGCTCATTTCTGAAGAGGACTTGAATGAAATGGAGCAAAAGCTCATTTCTGAAGAGGACTTGAATGAAATGGAGCAAAAGCTCATTTCTGAAGAGGACTTGAATGAAATGGAGAGCTTGGGCGACCTCACCATGGAGCAAAAGCTCATTTCTGAAGAGGACTTGtaaagcggccgcTCGAGGGTACCTCTAGAGGAT</v>
          </cell>
          <cell r="R76" t="str">
            <v xml:space="preserve">  </v>
          </cell>
        </row>
        <row r="77">
          <cell r="A77" t="str">
            <v>ZV2640219</v>
          </cell>
          <cell r="B77" t="str">
            <v>MTSU002-24</v>
          </cell>
          <cell r="C77">
            <v>46113</v>
          </cell>
          <cell r="D77">
            <v>20069612</v>
          </cell>
          <cell r="E77" t="str">
            <v>TPAEDFMRFa - mSca</v>
          </cell>
          <cell r="F77" t="str">
            <v>pBID-UASC</v>
          </cell>
          <cell r="G77" t="str">
            <v>EcoRI/XbaI</v>
          </cell>
          <cell r="H77" t="str">
            <v>Ampicillin</v>
          </cell>
          <cell r="I77">
            <v>1824</v>
          </cell>
          <cell r="J77" t="str">
            <v>2-4ug</v>
          </cell>
          <cell r="K77" t="str">
            <v>Lyophilized + gel</v>
          </cell>
          <cell r="L77" t="str">
            <v>Subclone from gene received from Sg: MTSU002-12</v>
          </cell>
          <cell r="M77" t="str">
            <v>ZV2640219</v>
          </cell>
          <cell r="N77" t="str">
            <v>Subclone only</v>
          </cell>
          <cell r="Q77" t="str">
            <v>TTGGGAATTCGTgctagcgctaccggactcagatctcgagATGGGCATTGCCTTGATGTTCCTGCTGGCCCTGTACCAGATGCAGTCGGCCATCCACAGCGAGATCATCGATACGCCCAACTATGCGGGCAACTCGTTGCAGGACGCTGACTCCGAGGTGAGTCCACCGCAGGACAATGACCTGGTAGATGCACTGCTCGGCAACGATCAGACCGAGAGGGCGGAGCTGGAGTTCCGGCACCCCATCTCTGTGATTGGCATCGACTACTCGAAGAACGCCGTGGTGCTGCACTTCCAGAAACACGGCCGGAAACCGCGCTACAAGTACGATCCCGAGCTGGAGGCCAAGCGAAGGTCCGTGCAGGACAACTTCATGCACTTCGGCAAGAGGCAGGCGGAGCAGCTGCCACCGGAGGGCAGCTATGCTGAATCCGATGAACTGGAGGGCATGGCCAAGCGAGCAGCTATGGATCGGTATGGCAGAGATCCCAAGCAGGACTTCATGCGGTTTGGTCGGGATCCGAAACAGGACTTCATGAGGTTTGGCAGGGATCCAAAGCAGGACTTCATGAGATTCGGTCGGGATCCCAAGCAGGATTTCATGAGATTCGGTCGAGATCCCAAGCAGGATTTCATGAGGTTTGGACGCACTCCGGCTGAGGATTTCATGAGGTTCGGACGCACTCCGGCGGAGGACTTCATGAGGTTCGGACGCTCCGACAATTTCATGCGCTTCGGACGCAGTCCC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CACGAGGAGCTTCGCAGTCCCAAACAGGATTTCATGCGATTCGGTCGCCCGGACAACTTCATGCGCTTCGGGCGTTCCGCTCCGCAGGATTTTGTGCGCTCCGGGAAGATGGACTCAAACTTCATTCGATTCGGTAAGAGCTTGAAGCCGGCGGCTCCCGAGTCCAAGCCAGTCAAGTCCAATCAAGGCAACCCAGGCGAACGCAGTCCAGTGGACAAGGCCATGACGGAGCTGTTCAAGAAACAGGAGCTGCAGGATCAGCAGGTGAAGAACGGCGCACAGGCGACCACCACGCAGGATGGGAGTGTGGAACAGGACCAGTTCTTCGGCCAGTGAagcggccgcTCGAGGGTACCTCTAGAATACCAAAC</v>
          </cell>
          <cell r="R77" t="str">
            <v xml:space="preserve">  </v>
          </cell>
        </row>
        <row r="78">
          <cell r="A78" t="str">
            <v>XP1640220</v>
          </cell>
          <cell r="B78" t="str">
            <v>UMANI037-01</v>
          </cell>
          <cell r="C78">
            <v>46114</v>
          </cell>
          <cell r="D78">
            <v>1009903035</v>
          </cell>
          <cell r="E78" t="str">
            <v>HisR-mature</v>
          </cell>
          <cell r="F78" t="str">
            <v>pUC57-Kan</v>
          </cell>
          <cell r="G78" t="str">
            <v>Blunt End</v>
          </cell>
          <cell r="H78" t="str">
            <v>Kanamycin</v>
          </cell>
          <cell r="I78">
            <v>96</v>
          </cell>
          <cell r="J78" t="str">
            <v>2-4ug</v>
          </cell>
          <cell r="K78" t="str">
            <v>Lyophilized</v>
          </cell>
          <cell r="L78" t="str">
            <v>Ordered U0410</v>
          </cell>
          <cell r="M78" t="str">
            <v>XP1640220</v>
          </cell>
          <cell r="N78" t="str">
            <v>Needs IDT Screening, Screen Result: PASS</v>
          </cell>
          <cell r="Q78" t="str">
            <v>GCTAATACGACTCACTATAGGTGGCTATAGCTCAGTTGGTAGAGCCCTGGATTGTGATTCCAGTTGTCGTGGGTTCGAATCCCATTAGCCACCCCA</v>
          </cell>
          <cell r="R78" t="str">
            <v xml:space="preserve">  </v>
          </cell>
        </row>
        <row r="79">
          <cell r="A79" t="str">
            <v>XP1640221</v>
          </cell>
          <cell r="B79" t="str">
            <v>UMANI037-02</v>
          </cell>
          <cell r="C79">
            <v>46114</v>
          </cell>
          <cell r="D79">
            <v>1009903035</v>
          </cell>
          <cell r="E79" t="str">
            <v>leuT-mature</v>
          </cell>
          <cell r="F79" t="str">
            <v>pUC57-Kan</v>
          </cell>
          <cell r="G79" t="str">
            <v>Blunt End</v>
          </cell>
          <cell r="H79" t="str">
            <v>Kanamycin</v>
          </cell>
          <cell r="I79">
            <v>106</v>
          </cell>
          <cell r="J79" t="str">
            <v>2-4ug</v>
          </cell>
          <cell r="K79" t="str">
            <v>Lyophilized</v>
          </cell>
          <cell r="L79" t="str">
            <v>Ordered U0410</v>
          </cell>
          <cell r="M79" t="str">
            <v>XP1640221</v>
          </cell>
          <cell r="N79" t="str">
            <v>Needs IDT Screening, Screen Result: PASS</v>
          </cell>
          <cell r="Q79" t="str">
            <v>GCTAATACGACTCACTATAGGGAAGGTGGCGGAATTGGTAGACGCGCTAGCTTCAGGTGTTAGTGTCCTTACGGACGTGGGGGTTCAAGTCCCCCCCCTCCCACCA</v>
          </cell>
          <cell r="R79" t="str">
            <v xml:space="preserve">  </v>
          </cell>
        </row>
        <row r="80">
          <cell r="A80" t="str">
            <v>XP1640222</v>
          </cell>
          <cell r="B80" t="str">
            <v>UMANI037-03</v>
          </cell>
          <cell r="C80">
            <v>46114</v>
          </cell>
          <cell r="D80">
            <v>1009903035</v>
          </cell>
          <cell r="E80" t="str">
            <v>argX-HisR-leuT-proM-Immature</v>
          </cell>
          <cell r="F80" t="str">
            <v>pUC57-Kan</v>
          </cell>
          <cell r="G80" t="str">
            <v>Blunt End</v>
          </cell>
          <cell r="H80" t="str">
            <v>Kanamycin</v>
          </cell>
          <cell r="I80">
            <v>500</v>
          </cell>
          <cell r="J80" t="str">
            <v>2-4ug</v>
          </cell>
          <cell r="K80" t="str">
            <v>Lyophilized</v>
          </cell>
          <cell r="L80" t="str">
            <v>Ordered U0410</v>
          </cell>
          <cell r="M80" t="str">
            <v>XP1640222</v>
          </cell>
          <cell r="N80" t="str">
            <v>Needs IDT Screening, Screen Result: PASS</v>
          </cell>
          <cell r="Q80" t="str">
            <v>GCTAATACGACTCACTATAGGGAACGGCGCTAAGCGCCCGTAGCTCAGCTGGATAGAGCGCTGCCCTCCGGAGGCAGAGGTCTCAGGTTCGAATCCTGTCGGGCGCGCCATTTAGTCCCGGCGCTTGAGCTGCGGTGGTAGTAATACCGCGTAACAAGATTTGTAGTGGTGGCTATAGCTCAGTTGGTAGAGCCCTGGATTGTGATTCCAGTTGTCGTGGGTTCGAATCCCATTAGCCACCCCATTATTAGAAGTTGTGACAATGCGAAGGTGGCGGAATTGGTAGACGCGCTAGCTTCAGGTGTTAGTGTCCTTACGGACGTGGGGGTTCAAGTCCCCCCCCTCGCACCACGACTTTAAAGAATTGAACTAAAAATTCAAAAAGCAGTATTTCGGCGAGTAGCGCAGCTTGGTAGCGCAACTGGTTTGGGACCAGTGGGTCGGAGGTTCGAATCCTCTCTCGCCGACCAATTTTGAACCCCGCTTCGGCGGGGTTTTTT</v>
          </cell>
          <cell r="R80" t="str">
            <v xml:space="preserve">  </v>
          </cell>
        </row>
        <row r="81">
          <cell r="A81" t="str">
            <v>XP1640223</v>
          </cell>
          <cell r="B81" t="str">
            <v>UMANI037-04</v>
          </cell>
          <cell r="C81">
            <v>46114</v>
          </cell>
          <cell r="D81">
            <v>1009903035</v>
          </cell>
          <cell r="E81" t="str">
            <v>argX-HisR-leuT-no-proM-Immature</v>
          </cell>
          <cell r="F81" t="str">
            <v>pUC57-Kan</v>
          </cell>
          <cell r="G81" t="str">
            <v>Blunt End</v>
          </cell>
          <cell r="H81" t="str">
            <v>Kanamycin</v>
          </cell>
          <cell r="I81">
            <v>393</v>
          </cell>
          <cell r="J81" t="str">
            <v>2-4ug</v>
          </cell>
          <cell r="K81" t="str">
            <v>Lyophilized</v>
          </cell>
          <cell r="L81" t="str">
            <v>Ordered U0410</v>
          </cell>
          <cell r="M81" t="str">
            <v>XP1640223</v>
          </cell>
          <cell r="N81" t="str">
            <v>Needs IDT Screening, Screen Result: PASS</v>
          </cell>
          <cell r="Q81" t="str">
            <v>GCTAATACGACTCACTATAGGGAACGGCGCTAAGCGCCCGTAGCTCAGCTGGATAGAGCGCTGCCCTCCGGAGGCAGAGGTCTCAGGTTCGAATCCTGTCGGGCGCGCCATTTAGTCCCGGCGCTTGAGCTGCGGTGGTAGTAATACCGCGTAACAAGATTTGTAGTGGTGGCTATAGCTCAGTTGGTAGAGCCCTGGATTGTGATTCCAGTTGTCGTGGGTTCGAATCCCATTAGCCACCCCATTATTAGAAGTTGTGACAATGCGAAGGTGGCGGAATTGGTAGACGCGCTAGCTTCAGGTGTTAGTGTCCTTACGGACGTGGGGGTTCAAGTCCCCCCCCTCGCACCACGACTTTAAAGAATTGAACTAAAAATTCAAAAAGCAGTATTT</v>
          </cell>
          <cell r="R81" t="str">
            <v xml:space="preserve">  </v>
          </cell>
        </row>
        <row r="82">
          <cell r="A82" t="str">
            <v>XP1640224</v>
          </cell>
          <cell r="B82" t="str">
            <v>UMANI037-05</v>
          </cell>
          <cell r="C82">
            <v>46114</v>
          </cell>
          <cell r="D82">
            <v>1009903035</v>
          </cell>
          <cell r="E82" t="str">
            <v>PheV-immature</v>
          </cell>
          <cell r="F82" t="str">
            <v>pUC57-Amp</v>
          </cell>
          <cell r="G82" t="str">
            <v>Blunt End</v>
          </cell>
          <cell r="H82" t="str">
            <v>Ampicillin</v>
          </cell>
          <cell r="I82">
            <v>193</v>
          </cell>
          <cell r="J82" t="str">
            <v>2-4ug</v>
          </cell>
          <cell r="K82" t="str">
            <v>Lyophilized</v>
          </cell>
          <cell r="L82" t="str">
            <v>Ordered U0410</v>
          </cell>
          <cell r="M82" t="str">
            <v>XP1640224</v>
          </cell>
          <cell r="N82" t="str">
            <v>Needs IDT Screening, Screen Result: PASS</v>
          </cell>
          <cell r="Q82" t="str">
            <v>GCTAATACGACTCACTATAGGGAAATTGAAGAAATTTGATTGACGAGACGAGGCGAATCAGGTTTAATGCGCCCCGTTGCCCGGATAGCTCAGTCGGTAGAGCAGGGGATTGAAAATCCCCGTGTCCTTGGTTCGATTCCGAGTCCGGGCACCACTAATTCTTAAGAACCCGCCCACAAGGCGGGTTTTTGCT</v>
          </cell>
          <cell r="R82" t="str">
            <v xml:space="preserve">  </v>
          </cell>
        </row>
        <row r="83">
          <cell r="A83" t="str">
            <v>ZF1640225</v>
          </cell>
          <cell r="B83" t="str">
            <v>UT601-01</v>
          </cell>
          <cell r="C83">
            <v>46121</v>
          </cell>
          <cell r="D83">
            <v>1009956506</v>
          </cell>
          <cell r="E83" t="str">
            <v>H1-A-Victoria-IVR-238</v>
          </cell>
          <cell r="F83" t="str">
            <v>DNA FRAGMENTS - no Vector</v>
          </cell>
          <cell r="I83">
            <v>1701</v>
          </cell>
          <cell r="J83" t="str">
            <v>400ng</v>
          </cell>
          <cell r="K83" t="str">
            <v>Lyophilized + gel</v>
          </cell>
          <cell r="L83" t="str">
            <v>Ordered U0410</v>
          </cell>
          <cell r="M83" t="str">
            <v>ZF1640225</v>
          </cell>
          <cell r="N83" t="str">
            <v>Needs IDT Screening, Screen Result: PASS</v>
          </cell>
          <cell r="Q83" t="str">
            <v>ATGAAGGCCATCCTGGTGGTGATGCTGTACACCTTTACCACCGCCAACGCTGACACCCTGTGCATCGGCTATCACGCCAACAACTCCACCGACACCGTGGACACCGTGCTGGAGAAGAATGTGACCGTGACCCACTCCGTGAACCTGCTGGAGGACAAGCATAACGGCAAGCTGTGCAAGCTGAGAGGCGTGGCCCCCCTGCACCTGGGCCAGTGCAACATCGCCGGCTGGATCCTGGGCAACCCCGAGTGCGAGTCCCTGTCCACAGCCAGAAGCTGGTCCTACATTGTGGAGACCAGCAACAGCGACAACGGCACCTGCTACCCCGGCGACTTCATCAACTACGAGGAGCTGCGGGAGCAGCTGAGCAGCGTGAGCAGCTTCGAGCGGTTCGAGATCTTCCCTAAGACAAGCAGCTGGCCTAACCACGATTCCGATAACGGCGTGACCGCCGCCTGCAGCCACGCCGGCGCCAAGAGCTTCTACAAGAACCTGATCTGGCTGGTGAAGAAGGGGAAGTCCTACCCCAAGATCAACCAGACCTACATCAACGACAAGGGCAAGGAGGTGCTGGTGCTGTGGGGCATCCACCACCCCCCCACCATCACCGACCAGGAGTCCCTGTACCAGAACGCCGACGCCTACGTGTTCGTGGGCACCAGCAGGTACTCCAAGAAGTTCAAGCCCGAGATCGCCGCCCGGCCAAAGGTGAGAGACCGGGCCGGCCGGATGAACTACTACTGGACCCTGGTGGAGCCAGGCGATAAGATCACCTTTGAGGCCACCGGCAACCTGGTGGCCCCCCGGTACGCCTTCACAATGGAGAAGGAGGCCGGCAGCGGCATCATCATCTCCGACACCCCTGTGCACGATTGCAACGCCACCTGCCAGACCCCCGAGGGCGCCATCAATACCAGCCTGCCCTTTCAGAACGTGCACCCCATCACCATCGGCAAATGCCCTAAGTACGTGCGGAGCACCAAGCTGAGGCTGGCCACAGGCCTGAGAAATGTGCCCAGCATCCAGTCTCGCGGCCTGTTCGGCGCCATCGCCGGCTTCATCGAGGGCGGCTGGACCGGCATGGTGGACGGCTGGTACGGCTACCACCACCAGAATGACCAGGGCAGCGGCTACGCCGCCGATCTCAAGAGCACCCAGAACGCCATCGATAAGATCACCAATAAGGTGAACAGCGTGATCGAGAAGATGAACACACAGTTCACCGCCGTGGGCAAGGAGTTCAACCACCTGGAGAAGCGCATCGAGAACCTGAACAAGAAGGTGGACGACGGCTTTCTGGATGTGTGGACCTACAACGCCGAGCTGCTGGTGCTGCTGGAGAACGAGAGAACACTGGATTACCACGACAGCAACGTGAAGAATCTGTACGAGAAGGTGAGGCACCAGCTGAAGAACAACGCCAAGGAGATCGGCAATGGCTGCTTCGAGTTCTACCACAAGTGCGACAATACCTGTATGGAGAGCGTGAAGAACGGCACCTACGACTACCCAAAGTACTCCGAGGAGGCCAAGCTGAACCGGGAGAAGATTGACGGCGTGAAGCTGGACAGCACCAGGATCTACCAGATCCTGGCCATCTACTCCACCGTGGCCAGCAGCCTGGTGCTGGTGGTGTCCCTGGGCGCCATCTCTTTCTGGATGTGCAGCAACGGCAGCCTGCAGTGTAGAATCTGCATCtaa</v>
          </cell>
          <cell r="R83" t="str">
            <v xml:space="preserve"> </v>
          </cell>
        </row>
        <row r="84">
          <cell r="A84" t="str">
            <v>ZF1640226</v>
          </cell>
          <cell r="B84" t="str">
            <v>UT601-02</v>
          </cell>
          <cell r="C84">
            <v>46121</v>
          </cell>
          <cell r="D84">
            <v>1009956506</v>
          </cell>
          <cell r="E84" t="str">
            <v>H1-A-Georgia-CVR-167</v>
          </cell>
          <cell r="F84" t="str">
            <v>DNA FRAGMENTS - no Vector</v>
          </cell>
          <cell r="I84">
            <v>1701</v>
          </cell>
          <cell r="J84" t="str">
            <v>400ng</v>
          </cell>
          <cell r="K84" t="str">
            <v>Lyophilized + gel</v>
          </cell>
          <cell r="L84" t="str">
            <v>Ordered U0410</v>
          </cell>
          <cell r="M84" t="str">
            <v>ZF1640226</v>
          </cell>
          <cell r="N84" t="str">
            <v>Needs IDT Screening, Screen Result: PASS</v>
          </cell>
          <cell r="Q84" t="str">
            <v>ATGAAGGCCATCCTGGTGGTGATGCTGTACACCTTCACCACCGCCAACGCCGACACCCTGTGCATCGGCTACCACGCCAATAACAGCACCGACACCGTGGACACCGTGCTGGAGAAGAATGTGACCGTGACCCACAGCGTGAACCTGCTGGAGGACAAGCACAACGGCAAGCTGTGCAAGCTGAGAGGCGTGGCCCCCCTGCACCTGGGCCAGTGTAACATCGCCGGCTGGATCCTGGGCAACCCCGAGTGTGAGTCCCTGAGCACAGCCAGGTCCTGGAGCTACATCGTGGAGACCTCCAATTCCGACAACGGCACATGCTACCCCGGAGACTTCATCAACTACGAGGAGCTGCGGGAGCAGCTGAGCTCCGTGAGCAGCTTTGAGCGGTTCGAGATCTTTCCCAAGACCAGCTCTTGGCCTAACCACGATAGCGACAACGGAGTGACCGCCGCCTGCTCCCACGCTGGCGCCAGATCCTTTTACAAGAACCTCATCTGGCTGGTGAAGAAGGGCAAAAGCTACCCTAAGATCAACCAGACCTACATTAATGACAAGGGCAAGGAGGTGCTGGTGCTGTGGGGCATCCACCACCCACCCACCATCACCGACCAGGAGAGCCTGTATCAGAATGCCGACGCCTACGTGTTTGTGGGCACATCCAGATACAGCAAGAAGTTCAAGCCAGAGATCGCCACCAGGCCTAAGGTCCGCGACCAGGCCGGCAGGATGAACTACTACTGGACCCTGGTGGAGCCTGGCGACAAGATTACCTTCGAGGCCACCGGCAACCTGGTGGCCCCCCGGTACGCCTTTACCATGGAGAAGGAAGCCGGCAGCGGAATCATCATCAGCGACACACCCGTGCACGATTGCAACGCCACCTGTCAGACCCCCGAGGGCGCCATCAACACCAGCCTGCCCTTCCAGAACGTGCATCCCATCACCATCGGCAAGTGCCCCAAGTACGTGAGGAGCACAAAGCTGAGGCTGGCCACCGGCCTGAGGAACGTGCCCAGCATTCAGTCCAGAGGCCTGTTTGGCGCCATCGCCGGCTTCATCGAGGGCGGCTGGACCGGCATGGTGGACGGCTGGTACGGATACCACCACCAGAATGACCAGGGAAGCGGCTACGCCGCCGACCTGAAGAGCACACAGAACGCCATCGATAAGATCACCAATAAGGTGAATAGCGTGATCGAGAAGATGAATACCCAGTTTACAGCCGTGGGCAAGGAGTTCAACCACCTGGAGAAGAGGATCGAGAACCTGAACAAGAAGGTGGACGACGGCTTTCTGGACGTGTGGACCTACAACGCCGAGCTGCTGGTGCTGCTGGAGAATGAAAGGACCCTGGACTACCACGACAGCAACGTGAAGAACCTGTACGAGAAGGTGCGCCACCAGCTGAAGAATAACGCCAAGGAGATCGGCAACGGCTGCTTTGAGTTCTACCACAAGTGCGACAACACATGCATGGAGTCCGTGAAGAACGGCACATACGACTACCCCAAGTACAGCGAGGAGGCTAAGCTGAACAGAGAGAAGATCGACGGCGTGAAGCTGGACAGCACCCGGATCTACCAGATCCTGGCCATCTACTCCACCGTGGCTAGCAGCCTGGTGCTGGTGGTGAGCCTGGGCGCCATTAGCTTCTGGATGTGCAGCAACGGCAGCCTGCAGTGCCGGATCTGCATCtaa</v>
          </cell>
          <cell r="R84" t="str">
            <v xml:space="preserve"> </v>
          </cell>
        </row>
        <row r="85">
          <cell r="A85" t="str">
            <v>ZF1640227</v>
          </cell>
          <cell r="B85" t="str">
            <v>UT601-03</v>
          </cell>
          <cell r="C85">
            <v>46121</v>
          </cell>
          <cell r="D85">
            <v>1009956506</v>
          </cell>
          <cell r="E85" t="str">
            <v>H3-A-Croatia-X-425A</v>
          </cell>
          <cell r="F85" t="str">
            <v>DNA FRAGMENTS - no Vector</v>
          </cell>
          <cell r="I85">
            <v>1701</v>
          </cell>
          <cell r="J85" t="str">
            <v>400ng</v>
          </cell>
          <cell r="K85" t="str">
            <v>Lyophilized + gel</v>
          </cell>
          <cell r="L85" t="str">
            <v>Ordered U0410</v>
          </cell>
          <cell r="M85" t="str">
            <v>ZF1640227</v>
          </cell>
          <cell r="N85" t="str">
            <v>Needs IDT Screening, Screen Result: PASS</v>
          </cell>
          <cell r="Q85" t="str">
            <v>ATGAAGGCCATCATCGCCCTGAGCAACATCCTGTGCCTGGTGTTCGCCCAGAAGATCCCCGGCAACGACAACAGCACCGCCACCCTGTGCCTGGGCCACCACGCCGTGCCCAACGGCACCATCGTGAAAACCATCACCAACGACAGAATCGAGGTGACCAACGCCACCGAGCTGGTGCAGAATTCCAGCATCGGCAAGATCTGCAACAGCCCCCACCAGATCCTGGACGGCGGCAACTGTACCCTGATCGATGCCCTGCTGGGCGACCCCCAGTGCGACGGCTTTCAGAATAAGGAGTGGGATCTGTTTGTGGAGCGGAGCAGAGCCAACAGCTCCTGCTACCCCTACGACGTGCCTGACTACGCCAGCCTGAGATCCCTGGTGGCCAGCTCCGGCACCCTGGAGTTTAAGGACGAGAGCTTTAACTGGACCGGCGTGAAGCAGAACGGGACCAGCAGCGCCTGCAAGCGGGGCAGCTCCAATAGCTTTTTCAGCCGGCTGAACTGGCTGACCTCCCTGAATAACATCTACCCTGCCCAGAACGTGACCATGCCCAATAAGGAGCAGTTCGACAAGCTGTACATTTGGGGCGTGCACCACCCCGCCACTGACAAGAACCAGTTCAGCCTGTTCGCCCAGTCCAGCGGAAGAATCACCGTGAGCACCAAGCGGAGCCAGCAGGCCGTGATCCCCAACATCGGCAGCAGGCCTAGGGTGAGAGACATCCCCAGCCGGATCTCCATCTACTGGACCATTGTGAAGCCTGGCGACATCCTGCTGATCAACTCCACCGGCAACCTGATCGCCCCAAGAGGCTACTTCAAGATCAGGAGCGGCAAGTCCAGCATCATGCGGAGCGATGCCCCCATCGGCGAGTGCAAGTCCGAGTGCATCACCCCCAACGGCAGCATCCCCAACGACAAGCCCTTCCAGAACGTGAATCGCATCACCTACGGGGCCTGCCCCCGCTACGTGAAGCAGAGCACCCTGAAGCTGGCCACCGGCATGAGGAACGTGCCCGAGAAGCAGACCCGCGGCATCTTCGGCGCCATCGCCGGCTTCATCGAGAACGGCTGGGAGGGAATGGTGGACGGCTGGTACGGGTTCAGGCACCAGAACAGCGAGGGCCGGGGCCAGGCCGCCGACCTGAAGTCCACCCAGGCCGCCATCGACCAGATCAGCGGCAAGCTGAACCGGCTGATCGGCAAGACCAACGAGAAGTTCCACCAGATCGAGAAGGAGTTTAGCGAGGTGGAGGGCAGGGTGCAGGACCTGGAGAAGTACGTGGAGGACACCAAGATCGACCTGTGGAGCTACAACGCCGAGCTGCTGGTGGCCCTGGAGAACCAGCACACCATTGATCTGACCGACAGCGAGATGAACAAGCTGTTCGAGAAAACCAAGAAGCAGCTGCGGGAGAACGCCGAGGACATGGGCAATGGCTGCTTCAAGATCTACCACAAGTGCGACAACGCCTGCATCGGAAGCATCCGCAACGAGACCTACGACCACAATGTGTACCGCGATGAGGCCCTGAACAATAGGTTCCAGATCAAGGGCGTGGAGCTGAAGAGCGGCTACAAGGACTGGATCCTGTGGATCAGCTTCGCCATGAGCTGCTTCCTGCTGTGCATCGCCCTGCTGGGCTTCATCATGTGGGCCTGCCAGAAGGGCAACATCAGATGCAACATCTGCATCtaa</v>
          </cell>
          <cell r="R85" t="str">
            <v xml:space="preserve"> </v>
          </cell>
        </row>
        <row r="86">
          <cell r="A86" t="str">
            <v>ZF1640228</v>
          </cell>
          <cell r="B86" t="str">
            <v>UT601-04</v>
          </cell>
          <cell r="C86">
            <v>46121</v>
          </cell>
          <cell r="D86">
            <v>1009956506</v>
          </cell>
          <cell r="E86" t="str">
            <v>H3-A-Victoria-CVR-289</v>
          </cell>
          <cell r="F86" t="str">
            <v>DNA FRAGMENTS - no Vector</v>
          </cell>
          <cell r="I86">
            <v>1701</v>
          </cell>
          <cell r="J86" t="str">
            <v>400ng</v>
          </cell>
          <cell r="K86" t="str">
            <v>Lyophilized + gel</v>
          </cell>
          <cell r="L86" t="str">
            <v>Ordered U0410</v>
          </cell>
          <cell r="M86" t="str">
            <v>ZF1640228</v>
          </cell>
          <cell r="N86" t="str">
            <v>Needs IDT Screening, Screen Result: PASS</v>
          </cell>
          <cell r="Q86" t="str">
            <v>ATGAAGGCCATCATCGCCCTGAGCAACATCCTGTGCCTGGTGTTCGCCCAGAAGATCCCCGGCAACGATAACAGCACCGCCACCCTGTGCCTGGGACACCACGCCGTGCCCAATGGCACCATCGTGAAAACCATCACCAATGACCGCATCGAGGTGACCAACGCCACCGAGCTGGTGCAGAACAGCAGCATCGGCAAGATCTGTAACAGCCCCCACCAGATCCTGGACGGCGGCAATTGTACCCTGATCGACGCCCTGCTGGGCGACCCCCAGTGCGACGGCTTCCAGAATAAGGAGTGGGACCTGTTCGTGGAGCGGTCTCGGGCCAACAGCAGCTGCTACCCCTACGATGTGCCCGACTACGCCAGCCTGCGGTCCCTGGTGGCCAGCTCTGGCACCCTGGAGTTCAAGGACGAGAACTTCAACTGGACAGGCGTGAAGCAGAACGGCACCAGCAGCGCCTGCAAGAGAGGCAGCAGCAACAGCTTCTTCAGCAGACTGAACTGGCTGACCAGCCTGAACAACATCTACCCTGCCCAGAACGTGACCATGCCCAATAAGGAGCAGTTCGATAAGCTGTATATCTGGGGCGTGCACCACCCTGACACCGACAAGAACCAGTTCAGCCTGTTCGCCCAGAGCAGCGGCAGAATCACCGTGAGCACCAAGCGGAGCCAGCAGGCCGTGATCCCCAATATCGGCAGCAGACCTCGCGTGAGGGACATCCCCAGCCGGATCTCTATCTACTGGACCATCGTGAAGCCTGGCGACATCCTGCTGATCAACAGCACCGGCAACCTGATCGCCCCCAGGGGCTATTTCAAGATCCGCTCTGGAAAGTCCAGCATCATGCGCTCCGACGCCCCCATCGGCGAGTGTAAGAGCGAGTGCATCACCCCCAACGGCAGCATCCCCAACGACAAGCCCTTCCAGAACGTGAACCGGATCACCTACGGGGCCTGCCCTCGGTATGTGAAGCAGAGCACCCTGAAGCTGGCCACTGGCATGAGGAACGTGCCCGAGAAGCAGACCAGAGGCATCTTCGGCGCCATCGCCGGCTTCATCGAGAATGGCTGGGAGGGCATGGTGGACGGATGGTACGGCTTCAGACACCAGAATAGCGAGGGCAGGGGCCAGGCCGCCGATCTGAAGAGCACACAGGCCGCCATCGACCAGATCAGCGGGAAGCTGAACAGACTGATCGGCAAGACTAACGAGAAATTCCACCAGATTGAAAAGGAGTTCAGCGAGGTGGAGGGCAGAGTGCAGGACCTGGAGAAGTACGTGGAGGACACCAAGATCGACCTGTGGAGCTACAACGCCGAGCTGCTGGTGGCCCTGGAGAACCAGCACACCATCGACCTGACCGACTCCGAGATGAACAAGCTGTTTGAGAAAACCAAGAAGCAGCTGAGAGAGAACGCCGAGGATATGGGCAACGGCTGCTTCAAGATCTACCACAAGTGTGACAACGCCTGCATCGGCTCCATCAGGAACGAGACCTACGACCACAACGTGTACAGGGATGAGGCCCTGAATAACAGGTTCCAGATCAAGGGCGTGGAGCTGAAGTCCGAGTACAAGGATTGGATCCTGTGGATCAGCTTCGCCATGAGCTGCTTCCTGCTGTGCATCGCCCTGCTGGGCTTCATCATGTGGGCCTGCCAGAAGGGCAACATCCGGTGTAACATCTGCATCtaa</v>
          </cell>
          <cell r="R86" t="str">
            <v xml:space="preserve"> </v>
          </cell>
        </row>
        <row r="87">
          <cell r="A87" t="str">
            <v>ZF1640229</v>
          </cell>
          <cell r="B87" t="str">
            <v>UT601-05</v>
          </cell>
          <cell r="C87">
            <v>46121</v>
          </cell>
          <cell r="D87">
            <v>1009956506</v>
          </cell>
          <cell r="E87" t="str">
            <v>H3-ON-CON-SubK</v>
          </cell>
          <cell r="F87" t="str">
            <v>DNA FRAGMENTS - no Vector</v>
          </cell>
          <cell r="I87">
            <v>1701</v>
          </cell>
          <cell r="J87" t="str">
            <v>400ng</v>
          </cell>
          <cell r="K87" t="str">
            <v>Lyophilized + gel</v>
          </cell>
          <cell r="L87" t="str">
            <v>Ordered U0410</v>
          </cell>
          <cell r="M87" t="str">
            <v>ZF1640229</v>
          </cell>
          <cell r="N87" t="str">
            <v>Needs IDT Screening, Screen Result: PASS</v>
          </cell>
          <cell r="Q87" t="str">
            <v>ATGAAGGCCATCATCGCCCTGAGCAACATCCTGTGCCTGGTGTTCGCCCAGAACATCCCCGGCAACGATAACAGCACCGCCACCCTGTGTCTGGGGCACCACGCCGTGCCCAACGGCACCATCGTCAAGACCATCACCAATGATCGGATCGAGGTGACCAACGCCACCGAGCTGGTGCAGAATAGCTCCATCGGCAAGATCTGCAACAGCCCACACCAGATCCTGGACGGGGGCAATTGCACCCTGATTGACGCTCTGCTGGGCGACCCCCAGTGCGACGGATTTCAGAACAAGGAGTGGGACCTGTTTGTGGAAAGAAGCCGCGCTAATAGCAGCTGCTACCCATACGACGTGCCTGACTACGCCTCCCTGCGCTCCCTGGTGGCCTCTAGCGGCACCCTGGAGTTCAAGGACGAGTCCTTCAACTGGACTGGCGTGAAACAGAACGGCAAGTCTAGCGCCTGTAAGCGGGGCTCCAACTCTAGCTTCTTTAGCCGCCTGAACTGGCTGACCAGCCTGGATAACAAGTACCCAGCCCAGAACGTGACCATGCCTAATAAGGAGCGGTTTGATAAGCTGTACATCTGGGGCGTGCACCACCCTGACACCGACAGGAACCAGTTTAGCCTGTTCGCCCAGTCCAGCGGGAGAATCACCGTGAGCACCAAGAGGTCTCAGCAGGCCGTGATCCCTAACATCGGCTCCAGACCTAGGGTGAGGGACATCCCATCCCGCATCTCCATCTACTGGACCATCGTGAAACCTGGGGATATCCTGCTGATCAACAGCACCGGCAACCTGATCGCCCCCAGGGGCTACTTTAAGATTCGGAGCGGCAAGAGCAGCATCATGCGGAGCGATGCCCCCATTGGCGAGTGCAAGTCCGAATGCATCACCCCCAACGGCAGCATTCCCAATGACAAGCCCTTTCAGAACGTGAACAGGATCACATACGGCGCCTGCCCCCGGTACGTGAAGCAGAGCACCCTGAAGCTGGCCACCGGCATGCGCAACGTGCCCGAGAAGCAGGCCCGCGGCATCTTCGGCGCCATCGCCGGCTTCATCGAGAACGGCTGGGAGGGCATGGTGGACGGCTGGTACGGCTTCCGGCACCAGAACTCCGAGGGCCGGGGGCAGGCCGCCGATCTGAAGTCCACACAGGCCGCCATTGACCAGATCAACGGCAAGCTGAACCGGCTGATCGGCAAGACCAACGAGAAGTTCCACCAGATTGAGAAGGAGTTCTCCGAGGTGGAGGGCAGGGTGCAGGACCTGGAGAAGTACGTGGAGGACACCAAGATCGACCTGTGGTCCTACAATGCCGAGCTGCTGGTGGCCCTGGAGAATCAGCATACAATCGACCTGACTGACAGCGAGATGAACAAGCTGTTCGAGAAAACCAAGAAGCAGCTGCGGGAGAACGCCGAGGACATGGGCAACGGCTGCTTCAAGATCTATCACAAGTGCGATAATGCCTGCATCGGCAGCATCCGGAACGAGACCTATGACCACAACGTGTATCGGGATGAGGCCCTGAACAACAGATTTCAGATCAAGGGCGTGGAGCTGAAGTCCGGCTATAAGGATTGGATCCTGTGGATCAGCTTTGCTATGAGCTGTTTTCTGCTGTGCATCGCCCTGCTGGGCTTCATCATGTGGGCCTGTCAGAAGGGCAACATCAGATGTAACATCTGCATCtaa</v>
          </cell>
          <cell r="R87" t="str">
            <v xml:space="preserve"> </v>
          </cell>
        </row>
        <row r="88">
          <cell r="A88" t="str">
            <v>ZF1640230</v>
          </cell>
          <cell r="B88" t="str">
            <v>UT601-06</v>
          </cell>
          <cell r="C88">
            <v>46121</v>
          </cell>
          <cell r="D88">
            <v>1009956506</v>
          </cell>
          <cell r="E88" t="str">
            <v>PIV3-G</v>
          </cell>
          <cell r="F88" t="str">
            <v>DNA FRAGMENTS - no Vector</v>
          </cell>
          <cell r="I88">
            <v>1716</v>
          </cell>
          <cell r="J88" t="str">
            <v>400ng</v>
          </cell>
          <cell r="K88" t="str">
            <v>Lyophilized + gel</v>
          </cell>
          <cell r="L88" t="str">
            <v>Ordered U0410</v>
          </cell>
          <cell r="M88" t="str">
            <v>ZF1640230</v>
          </cell>
          <cell r="N88" t="str">
            <v>Needs IDT Screening, Screen Result: PASS</v>
          </cell>
          <cell r="Q88" t="str">
            <v>ATGGAGTACTGGAAGCACACCAACCACGGCAAGGACGCCGGCAATGAGCTGGAGACCAGCATGGCCACCCACGGCAATAAGATCACCAATAAGATTACCTACATCCTGTGGACCATCATCCTGGTGCTGCTGAGCATCGTGTTCATCATCGTGCTGATCAACAGCATCAAGTCTGAGAAGGCCCACGAGAGCCTGCTGCAGGACGTGAACAATGAGTTCATGGAGGTGACCGAGAAGATCCAGATGGCCAGCGACAACATTAATGACCTGATCCAGAGCGGCGTGAACACCAGGCTGCTGACAATCCAGTCCCACGTGCAGAACTACATCCCAATCAGCCTGACCCAGCAGATGAGCGATCTGAGAAAGTTCATCTCTGAGATCACCATCAGGAACGACAACCAGGAAGTGCCCCCACAGAGAATCACCCACGACGTGGGCATCAAGCCCCTGAACCCAGACGACTTTTGGAGGTGCACCAGCGGACTGCCTAGCCTGATGAAAACCCCCAAGATCAGACTGATGCCAGGCCCCGGCCTGCTGGCCATGCCCACCACAGTGGACGGCTGCGTGAGGACCCCAAGCCTGGTGATCAATGACCTGATCTACGCCTACACTAGCAATCTGATCACCAGGGGCTGCCAGGATATTGGCAAGAGCTATCAGGTGCTGCAGATCGGCATCATCACAGTGAACTCCGACCTGGTGCCCGACCTGAACCCAAGGATTTCCCACACCTTTAATATCAATGACAACAGAAAGTCCTGCAGCCTGGCCCTGCTGAACACCGACGTGTACCAGCTGTGCTCCACCCCTAAGGTGGACGAGCGGTCTGATTATGCCTCTTCCGGCATCGAGGACATTGTGCTGGACATCGTGAACCATGACGGGAGCATCAGCACCACCAGATTTAAGAATAACAATATTAGCTTCGACCAGCCATACGCCGCCCTGTACCCCAGCGTGGGCCCCGGCATCTACTACAAGGGGAAGATCATTTTCCTGGGCTATGGCGGCCTGGAGCACCCCATCAACGAGAACGCCATCTGCAACACCACCGGCTGCCCCGGCAAGACCCAGCGCGACTGCAATCAGGCCTCCCACAGCCCCTGGTTCTCTGACAGACGGATGGTGAACTCTATCATCGTGGTGGACAAGGGCCTGAACAGCATCCCTAAGCTGAAGGTGTGGACCATCTCCATGCGGCAGAACTATTGGGGCAGCGAGGGGAGGCTGCTGCTGCTGGGCAACAAAATCTACATCTACACCAGGTCCACAAGCTGGCACTCCAAGCTGCAGCTGGGCATCATCGACATTACAGACTATTCTGATATCCGGATCAAGTGGACATGGCACAACGTGCTGTCCAGACCAGGGAACAACGAGTGCCCATGGGGCCACAGCTGTCCAGACGGCTGCATCACCGGCGTGTACACAGACGCCTACCCTCTGAATCCAACAGGCTCTATCGTGAGCTCCGTGATCCTGGATAGCCAGAAGAGCCGGGTGAACCCCGTGATCACCTACAGCACCAGCACCGAGCGGGTGAACGAGCTGGCCATCAGAAACAAGACCCTGAGCGCCGGCTATACCACCACCAGCTGCATCACCCACTATAACAAGGGCTACTGCTTCCACATCGTGGAGATCAACCACAAATCTCTGGACACCTTCCAGCCCATGCTGTTCAAGACCGAGATCCCTAAGAGCTGTAGC</v>
          </cell>
          <cell r="R88" t="str">
            <v xml:space="preserve"> </v>
          </cell>
        </row>
        <row r="89">
          <cell r="A89" t="str">
            <v>ZF1640231</v>
          </cell>
          <cell r="B89" t="str">
            <v>UT601-07</v>
          </cell>
          <cell r="C89">
            <v>46121</v>
          </cell>
          <cell r="D89">
            <v>1009956506</v>
          </cell>
          <cell r="E89" t="str">
            <v>PIV3-F</v>
          </cell>
          <cell r="F89" t="str">
            <v>DNA FRAGMENTS - no Vector</v>
          </cell>
          <cell r="I89">
            <v>1617</v>
          </cell>
          <cell r="J89" t="str">
            <v>400ng</v>
          </cell>
          <cell r="K89" t="str">
            <v>Lyophilized + gel</v>
          </cell>
          <cell r="L89" t="str">
            <v>Ordered U0410</v>
          </cell>
          <cell r="M89" t="str">
            <v>ZF1640231</v>
          </cell>
          <cell r="N89" t="str">
            <v>Needs IDT Screening, Screen Result: PASS</v>
          </cell>
          <cell r="Q89" t="str">
            <v>ATGCCCACCAGCATCCTGCTGATCATCACCACCATGATCATGGCCTCCTTCTGCCAGATCGACATCACCAAGCTGCAGCACGTGGGCGTGCTGGTGAACAGCCCCAAGGGCATGAAGATCAGCCAGAACTTCGAGACCAGATACCTGATCCTGAGCCTGATCCCTAAGATCGAGGACAGCAACTCTTGCGGCGACCAGCAGATCAAGCAGTACAAGAGACTGCTGGACAGACTGATCATCCCCCTGTACGACGGCCTGAGGCTGCAGAAGGACGTGATCGTGAGCAACCAGGAGTCCAACGAAAACACCGATCCCAGAACCAAGAGATTCTTCGGCGGCGTGATCGGCACAATCGCCCTGGGCGTGGCCACCTCCGCCCAGATCACAGCCGCCGTGGCCCTGGTGGAGGCCAAGCAGGCCAGAAGCGATATCGAGAAGCTGAAGGAGGCCATCAGGGACACCAATAAGGCCGTGCAGTCTGTGCAGTCCTCCATCGGCAACCTGATTGTGGCCATCAAGAGCGTGCAGGACTACGTGAATAAGGAGATCGTGCCATCCATCGCCAGACTGGGATGCGAGGCCGCCGGCCTGCAGCTGGGCATCGCCCTCACTCAGCACTACTCCGAGCTGACCAACATCTTCGGCGACAACATCGGCAGCCTGCAGGAGAAGGGCATCAAGCTGCAGGGCATCGCCAGCCTGTACAGGACCAACATTACCGAGATCTTCACTACCTCCACCGTGGACAAGTACGATATCTACGACCTGCTGTTCACCGAGAGCATCAAGGTGCGGGTGATCGACGTGGATCTGAACGATTACTCCATCACCCTGCAGGTGCGCCTGCCCCTGCTGACCCGCCTGCTGAACACCCAGATTTACCGGGTGGACAGCATCTCCTACAATATCCAGAATAGGGAGTGGTACATCCCCCTGCCCTCTCACATCATGACCAAGGGCGCCTTCCTGGGCGGAGCCGACGTGAAGGAGTGCATCGAGGCCTTCAGCTCCTACATCTGCCCTAGCGACCCCGGCTTCGTGCTGAATCACGAGATGGAGAGCTGCCTGTCCGGCAACATCAGCCAGTGCCCCCGCACCGTGGTGAAGTCCGACATCGTGCCCAGGTATGCCTTCGTGAACGGCGGCGTGGTGGCCAATTGCATCACAACCACCTGCACCTGCAACGGCATCGGCAACAGGATCAATCAGCCCCCTGACCAGGGGGTGAAGATCATCACCCACAAGGAGTGTAACACCATCGGCATCAACGGCATGCTGTTCAACACCAACAAGGAGGGCACCCTGGCCTTTTACACCCCAAACGACATCACACTGAATAATAGCGTGGCCCTGGACCCCATCGACATCTCCATCGAGCTGAATAAGGCCAAGAGCGACCTGGAGGAGAGCAAGGAGTGGATCCGGCGGTCCAACCAGAAGCTGGACAGCATCGGCAACTGGCACCAGAGCAGCACCACCATCATTATCGTGCTGATTATGATCATCATCCTGTTCATCATCAACGTGACAATCATCATCATCGCCGTGAAGTACTACAGGATCCAGAAGAGAAACCGGGTGGACCAGAACGATAAGCCCTACGTGCTGACCAACAAG</v>
          </cell>
          <cell r="R89" t="str">
            <v xml:space="preserve"> </v>
          </cell>
        </row>
        <row r="90">
          <cell r="A90" t="str">
            <v>ZF1640232</v>
          </cell>
          <cell r="B90" t="str">
            <v>UT601-08</v>
          </cell>
          <cell r="C90">
            <v>46121</v>
          </cell>
          <cell r="D90">
            <v>1009956506</v>
          </cell>
          <cell r="E90" t="str">
            <v>MeV-F</v>
          </cell>
          <cell r="F90" t="str">
            <v>DNA FRAGMENTS - no Vector</v>
          </cell>
          <cell r="I90">
            <v>1650</v>
          </cell>
          <cell r="J90" t="str">
            <v>400ng</v>
          </cell>
          <cell r="K90" t="str">
            <v>Lyophilized + gel</v>
          </cell>
          <cell r="L90" t="str">
            <v>Ordered U0410</v>
          </cell>
          <cell r="M90" t="str">
            <v>ZF1640232</v>
          </cell>
          <cell r="N90" t="str">
            <v>Needs IDT Screening, Screen Result: PASS</v>
          </cell>
          <cell r="Q90" t="str">
            <v>ATGGGCCTGAAGGTGAACGTGAGCGCCATCTTCATGGCCGTGCTGCTGACCCTGCAGACCCCCACCGGCCAGATCCACTGGGGCAATCTGAGCAAGATCGGCGTGGTGGGCATCGGAAGCGCTAGCTACAAAGTGATGACCAGATCCAGCCACCAGAGCCTGGTGATCAAGCTGATGCCAAACATCACCCTGCTGAACAACTGCACCCGCGTGGAGATCGCCGAGTACCGGAGGCTGCTGAGGACCGTGCTGGAGCCCATCAGGGACGCCCTGAACGCCATGACCCAGAATATCCGGCCCGTGCAGAGCGTGGCCTCCTCCCGGCGCCATAAGCGCTTCGCCGGCGTGGTGCTGGCCGGCGCCGCCCTGGGGGTGGCCACCGCCGCCCAGATTACCGCCGGCATCGCCCTGCATCAGTCCATGCTGAACAGCCAGGCCATCGACAACCTGCGGGCCAGCCTGGAGACCACCAACCAGGCCATCGAGGCCATCAGGCAGGCCGGCCAGGAGATGATCCTGGCCGTGCAGGGCGTGCAGGACTACATTAACAACGAGCTGATCCCTTCCATGAACCAGCTGTCCTGTGATCTGATCGGCCAGAAGCTCGGCCTGAAGCTGCTGAGGTACTACACCGAGATCCTGAGCCTGTTCGGCCCCAGCCTGCGCGACCCTATCTCCGCCGAAATCAGCATCCAGGCCCTGAGCTACGCCCTGGGCGGCGACATCAACAAGGTGCTGGAGAAGCTGGGCTACTCCGGCGGCGACCTGCTCGGCATCCTGGAATCCCGCGGCATCAAGGCCCGGATCACCCACGTGGATACCGAGAGCTACTTCATCGTGCTGAGCATCGCTTACCCAACCCTGTCCGAGATCAAGGGCGTGATCGTGCACAGGCTGGAGGGCGTGAGCTACAACATCGGCTCCCAGGAGTGGTACACCACCGTGCCTAAGTACGTGGCCACCCAGGGATACCTGATCTCCAACTTCGACGAGTCCAGCTGCACCTTTATGCCCGAGGGCACAGTGTGTAGCCAGAATGCCCTGTATCCCATGAGCCCCCTGCTGCAGGAGTGCCTGAGAGGCAGCACCAAGTCCTGCGCCCGGACCCTGGTGAGCGGCAGCTTCGGCAACAGATTCATCCTGTCCCAGGGGAACCTGATCGCCAACTGCGCTAGCATCCTGTGCAAGTGCTACACCACCGGCACCATCATCAATCAGGACCCCGACAAGATCCTGACCTACATCGCCGCTGACCATTGCCCTGTGGTGGAGGTGAACGGCGTGACCATCCAGGTGGGCAGCAGGCGGTACCCTGACGCCGTGTACCTGCACCGGATCGATCTGGGCCCCCCCATCAGCCTCGAGCGCCTGGATGTGGGCACTAACCTGGGCAACGCTATCGCCAAGCTGGAGGACGCCAAGGAGCTGCTGGAGAGCAGCGACCAGATCCTGAGAAGCATGAAGGGCCTGAGCAGCACCTCCATCGTGTACATCCTGATTGCCGTGTGCCTGGGGGGCCTGATCGGCATCCCAGCCCTGATCTGCTGTTGCCGGGGCCGGTGTAATAAGAAGGGCGAGCAGGTGGGCATGAGCCGGCCCGGCCTGAAGCCCGACCTGACCGGCACCAGCAAGAGCTACGTGAGAAGCCTG</v>
          </cell>
          <cell r="R90" t="str">
            <v xml:space="preserve"> </v>
          </cell>
        </row>
        <row r="91">
          <cell r="A91" t="str">
            <v>ZF1640233</v>
          </cell>
          <cell r="B91" t="str">
            <v>UT601-09</v>
          </cell>
          <cell r="C91">
            <v>46121</v>
          </cell>
          <cell r="D91">
            <v>1009956506</v>
          </cell>
          <cell r="E91" t="str">
            <v>MeV-G</v>
          </cell>
          <cell r="F91" t="str">
            <v>DNA FRAGMENTS - no Vector</v>
          </cell>
          <cell r="I91">
            <v>1851</v>
          </cell>
          <cell r="J91" t="str">
            <v>400ng</v>
          </cell>
          <cell r="K91" t="str">
            <v>Lyophilized + gel</v>
          </cell>
          <cell r="L91" t="str">
            <v>Ordered U0410</v>
          </cell>
          <cell r="M91" t="str">
            <v>ZF1640233</v>
          </cell>
          <cell r="N91" t="str">
            <v>Needs IDT Screening, Screen Result: PASS</v>
          </cell>
          <cell r="Q91" t="str">
            <v>ATGAGCCCCCAGCGGGACCGGATCAACGCCTTCTACAAGGATAACCCCCACCCCAAGGGCAGCCGCATTGTGATCAACAGAGAGCACCTGATGATCGACCGGCCCTACGTGCTGCTGGCCGTGCTGTTCGTGATGTTCCTGTCCCTGATCGGCCTGCTGGCCATCGCCGGCATCAGACTGCACCGGGCCGCCATCTACACCGCCGAGATCCACAAGAGCCTGAGCACCAACCTGGATGTGACAAATAGCATCGAGCACCAGGTGAAGGACGTGCTGACCCCACTGTTTAAGATCATCGGCGACGAGGTGGGCCTGAGGACCCCTCAGCGCTTCACCGACCTGGTGAAGTTCATCAGCGATAAGATCAAATTTCTGAACCCCGATCGGGAGTACGACTTCAGAGACCTGACCTGGTGCATCAACCCACCTGAGCGGATCAAGCTGGACTACGATCAGTACTGCGCCGATGTGGCCGCCGAGGAGCTGATGAACGCCCTGGTGAATAGCACCCTGCTGGAGGCCCGCGCCACCAACCAGTTCCTGGCCGTGAGCAAGGGCAACTGCTCCGGCCCTACCACCATCCGCGGCCAGTTCAGCAACATGTCCCTGTCTCTGCTGGACCTGTACCTGTCTAGAGGCTACAATGTGAGCAGCATCGTGACCATGACAAGCCAGGGCATGTACGGCGGCACCTATCTGGTGGGCAAGCCCAACCTGAGCAGCAAGGGCTCTGAGCTGAGCCAGCTGAGCATGCACCGCGTGTTCGAGGTGGGCGTGATCAGAAACCCCGGCCTGGGCGCCCCCGTGTTCCACATGACAAACTACTTCGAGCAGCCCGTGAGCAACGACTTCAGCAACTGTATGGTGGCCCTGGGCGAGCTGAAGTTCGCCGCCCTGTGTCACCGGGAGGATTCCATCACCATCCCCTACCAGGGCAGCGGGAAGGGGGTGAGCTTCCAGCTGGTGAAGCTGGGCGTGTGGAAGTCCCCTACAGACATGAGGAGCTGGGTGCCCCTGAGCACCGACGACCCAGTGATCGATAGACTGTACCTGTCCAGCCACCGGGGCGTGATTGCCGACAACCAGGCCAAGTGGGCCGTGCCCACCACCCGGACCGACGATAAGCTGAGGATGGAGACCTGCTTCCAGCAGGCCTGTAAGGGCAAGAACCAGGCCCTGTGCGAGAACCCTGAGTGGGCCCCACTGAAGGATAATAGGATCCCTAGCTACGGCGTGCTGAGCGTGAACCTGAGCCTGACCGTGGAGCTGAAAATCAAGATCGCCAGCGGCTTCGGCCCCCTGATCACACACGGCAGCGGCATGGACCTGTATAAGACCAACCATAACAACGTGTACTGGCTGACCATCCCCCCAATGAAGAATCTGGCCCTGGGCGTGATCAACACCCTGGAGTGGATCCCCCGGTTCAAAGTGTCCCCCAATCTGTTCACCGTGCCCATCAAGGAGGCCGGCGAGGACTGCCACGCCCCCACCTACCTGCCCGCCGAGGTGGATGGCGACGTGAAGCTGAGCTCCAACCTGGTGATCCTGCCTGGCCAGGACCTGCAGTACGTGCTGGCCACCTACGACACCTCCCGCGTGGAGCACGCCGTGGTGTACTACGTGTACTCCCCTAGCAGGAGCTTCTCCTACTTCTACCCTTTTAGGCTGCCCATCAAGGGCGTGCCCATCGAACTGCAGGTGGAGTGCTTTACCTGGGATAAGAAGCTGTGGTGCCGGCACTTCTGCGTGCTGGCCGACTCCGAGAGCGGCGGCCACATCACACACAGCGGCATGGTGGGCATGGGCGTGAGCTGCACCGTGACCAGGGAGGACGGCACCAATCGGCGG</v>
          </cell>
          <cell r="R91" t="str">
            <v xml:space="preserve"> </v>
          </cell>
        </row>
        <row r="92">
          <cell r="A92" t="str">
            <v>ZF1640234</v>
          </cell>
          <cell r="B92" t="str">
            <v>UT601-10</v>
          </cell>
          <cell r="C92">
            <v>46121</v>
          </cell>
          <cell r="D92">
            <v>1009956506</v>
          </cell>
          <cell r="E92" t="str">
            <v>MntV-F</v>
          </cell>
          <cell r="F92" t="str">
            <v>DNA FRAGMENTS - no Vector</v>
          </cell>
          <cell r="I92">
            <v>1677</v>
          </cell>
          <cell r="J92" t="str">
            <v>400ng</v>
          </cell>
          <cell r="K92" t="str">
            <v>Lyophilized + gel</v>
          </cell>
          <cell r="L92" t="str">
            <v>Ordered U0410</v>
          </cell>
          <cell r="M92" t="str">
            <v>ZF1640234</v>
          </cell>
          <cell r="N92" t="str">
            <v>Needs IDT Screening, Screen Result: PASS</v>
          </cell>
          <cell r="Q92" t="str">
            <v>ATGCTGCTGACCCCTAAGAATATCATCCTGTGGGGCGTGTGCATCCACCTGATCCTGTGCCAGACCCTGAGCGTGATCAACTACGACCTGCTGGCTGGCATCGGCATCATCAAAGGCAGCATCAAGGAGTACAAGATCTCCAGCTCCGGCAACACAAGGGACGTGGTGGTGAATTTTATGCCTAACTTCGGCAACATGAGCCAGTGCGGCAAATCCGCCGTGGATGACTATAAGGGCAAGATCAAAAGACTGCTGCTGCCCATCAATGAGAGCATGGAGCTGTTTCTGTCTAACATCACTCAGATGCAGACCAACAGCCGGTTCGCCGGCCTGATCCTGGCCGGCGTGGCCCTCGGCGTGGCCACCGCCGCCCAGATCACCGCCGGGATCGCCGTGTACAAAGCTAACGTGAACGCCGAGCAGATCAGCCAGATCAGAGAAGCCCTGAGCAACACCAACAAGGCCGTGGAGGAGCTGAGAAACCTGGGCGGACAGACAATGACCGCCCTGACCGCCCTGCAGAACCAGATCAACACCCAGATCGTGCCCGCTATCAATGATCTGGGCTGCCAGGTGATGGAGCAGAGCGTGGGCCTGAAGCTGCTGAATTTCTACACAGAGGTCATGAGCGTGTTCGGCAACATCCTGAACGACCCCATCAATAGCCCCCTGAGCATCCAGGCCATCTCCAGGCTGTTCGACGGAAACTTCAAGGGCATCCTGGAGAAAATCGGCATGGACATCCACGACCTGAAGGATCTGATTGAGAGCGACAGCATCACCGGAAGAATCATCTATGTGGACGTGGAGAGCCTCTTCCTGATCGTGAGGGTGGAGGTGCCAGTGCTGACCACCATCCAGCAGGCCTACGTGGTGGAGTTCATTAAGATCTCCTACTACGACAACGGCGACGAGTGGATCACCATGGTGCCTAACTACGTGCTGGTGAGGAATAGCTTCATCAGCAACATTGATGTGAGCGATTGCGTTAAGACCGAGCGGTCCGTGATCTGCAATAGGGACTATAGCAGCCCAATTTCAAGCACCATGTACAGATGTCTGACATCCAACGTGACCGCCTGCAGCAGGGAGAGGGTGGTGGTGTCTTACGTGCCACGCTTCGCCCTGTCCCAGGGCGTGATCTTCGCTAATTGCTACTCCGTGTCCTGCATCTGCGTGGACACTGGCCTGGTGATCACACAGAGCAATCTGATCAAGGTGACCATGATCGACAATAGCCGGTGCCAGGTGGTGCAGGTGGACCAGATCAACATCAAGGTGGGAAGGTATTACGGCGTGACCACATTCAACAACATCAGCATCCAGCTGGGCCCCACCATCGTGACTAACCAGATCGACATCAATAACCAGATCGCCGACATGAACCAGACCCTGAGCAAGGTGGACATCTACCTGAAGAAGTCTAACGGCATCCTGGACAAGATGTACTTCACACCTGGCGGCAACCCCTGGTTTTGGGTGGTGATCCTGAGCCTGATCGGCATCGTGGTGTACATCGCCTTCCTGACCTACTGCATCATTAAGAGAGATAAACTCGGCAAGGCTAGCCGCAGCCCCAGCACCGAGGACTTCAATACCCTGGACAACATCTACTACATCCCTCAGCACAGCGCCATCGGCAGAGTGACCGAGAGAAGATTGCTGGGCGATAAGCAC</v>
          </cell>
          <cell r="R92" t="str">
            <v xml:space="preserve"> </v>
          </cell>
        </row>
        <row r="93">
          <cell r="A93" t="str">
            <v>ZF1640235</v>
          </cell>
          <cell r="B93" t="str">
            <v>UT601-11</v>
          </cell>
          <cell r="C93">
            <v>46121</v>
          </cell>
          <cell r="D93">
            <v>1009956506</v>
          </cell>
          <cell r="E93" t="str">
            <v>MntV-G</v>
          </cell>
          <cell r="F93" t="str">
            <v>DNA FRAGMENTS - no Vector</v>
          </cell>
          <cell r="I93">
            <v>2166</v>
          </cell>
          <cell r="J93" t="str">
            <v>400ng</v>
          </cell>
          <cell r="K93" t="str">
            <v>Lyophilized + gel</v>
          </cell>
          <cell r="L93" t="str">
            <v>Ordered U0410</v>
          </cell>
          <cell r="M93" t="str">
            <v>ZF1640235</v>
          </cell>
          <cell r="N93" t="str">
            <v>Needs IDT Screening, Screen Result: PASS</v>
          </cell>
          <cell r="Q93" t="str">
            <v>ATGGTGAAGGTGAAGAAGAATAATAGCACCAAGAAGCTGACCGACTACTACAGCAAGATGATTAAGGAGCTGGATGACGCCAATAAGTACAACATGAGCCCACTGAGAGCCATCGGGAACAAGGACGGCCTGACCAATATCGGCGAAATTAAGATTCACGATAAGGTGGATAGGATGCAGAATAACCAGAATAAGAACAAGCTGGATGAGTCTGACTACTTCGTGAACGTGGTGCCTGGCAAGACCACCGAGTCTCGGATCCAGGGCAGCAACAACAGCGTGAGCAACAATTACTTCGGCTACAGCCGGCAGAGCGATAAGCCTGAAAACACTAGTGTGATTAAGGGTAAGATTCACAGGCAGATTAAGAGATCCAGCCAGATCGTGACCCTGCTCAACTCCCTGCTGATCACCGTGGCCACCATCGTCCTGATCACCCTGAACATCTATAACCTGAGAACCATGCAGGCCAACATCGGGAATCAGGATGAGTTCAGAATCCAGCTGGCCACCCTGGAGGTGCAGGTGAAGTTCCTGACCGACCAGTACAACGAGTACATCAAGCCCAAGATTCAGATTCTCGACCAGTCCGCCACCTATGGCATCCCCACACAGCTGAGCGCCCTGAACAGCAAGCTGAATTCCAATCTGAAAACCATCATGGAAAGCCTGGGGCGGACCTGTTCCCCCAGCGCACCCGAGAAGAGCGAGACTCAGATGGAGCCTAACACAACCCTGCCATCCCTGCCCGACATCTACGACAAGGACCAGGAGGGCGAACCCGAGGAGCACATCAGATCTTACAGCATGCTGGCCCAGGACAACCACGGCAAGCCCCTGGAAAGCATTAACCACAACAATATCAAGTTTTTCAACGTGGAAAGCATTATCCCCGACGTGCACAATGACGACGATTGCGTGCGGTTCCCCTCCCTGTCCTTCAAGGGACTGAGATTCACATACAACCAGGAGACCCGGCACGACGAGTGCACTCACGGCAAGAAGAACGGCCACCACATCATTAACGGCCAGCTGATTCAGACCGAGCACGAGAAGCCTTCCATCCTGGTGACCAGCATTGCCTCCGTGAAGGACCCCGATTACGTGCGCTTTTGCAGCAGCGTGACCACTGAGACAAAGGGGATCGTGGTGTGCGCCCTGACCATGCTGGATGAGGTGAAGATGCTGGAGTACCCCCAGATTCCTGACCTCCGGCTGTATATCAGCGCCGACAATGGCAACCTGAATAACTACGACCTGAAGGCCACCGCCTTCCGCACCGACCTGCAGTATGACACCATCATTCCTGCCGGCGGCGGCGGCATCGAGTATAACGGCCGGCTGTTCATCCCTGGCAAGGGCGTGCTGAGATACAAGCAGCAGGTGAACCAGAATTGCTACTACCAGGGATGCCCAGTGACAACTGAGAAGCAGCTGGCTTGCGAGAAGGCCATCGAGCCTGGGTTCCTGGAGGGCAGGCAGCTGGTGAATAATATCATTGTGATCAGCAGCCCCACCAGGGCCAACTACTCCGTGTACGTGTACACCCTGCCACTGGACCAGGTGTACCTGGGCAGCAAGGCCAAGATCTTCGAGCACGACGAGAAAATCTACTGGTACCAGGAGCCTATCAGCTGGCACGCCTACGCCCAGGTGGCAGAAATCAAGATCGACAAAATGATCGACCTGATCTGGTTCAATATCACCTCTCTGAGCAGACCCGGCATGAGACCCTGCTCCTGGGGAAACGACTGCCCTAGCTCCTGCCTGACAGGCAGTTACAACGAGGTGGATATCATCCAGCACAACCCACTGATCCTGTTCACCCCCTTTCTGGACAGCTCCGAGTACTACACAAACCTGAGCTTCGGCATCTTCACCAAGAACGAGAGGCTGCACGCCGAGAGATTCAACTGGAAGATCAACTCCGCCTTCCAGTCCACCATCGGCTGCAATAGGATTAACGACCACATCTGGTGCCTGAGCGTGGTGGAGGTGCTGAACCAGAAGCTGTCTAAGCTGAGAAGCAAAGCCACACTGGTGGGCATCAAAGTGGTGCCCAATATCCCTAGGACCGGCTCCGGCATGCAGAGCGCCACCACCAATCCCCCCATCGTGAACACCACCCTGAGCATCCTGAGCGTGAAAACCAATAACAGCACCGGC</v>
          </cell>
          <cell r="R93" t="str">
            <v xml:space="preserve"> </v>
          </cell>
        </row>
        <row r="94">
          <cell r="A94" t="str">
            <v>XP1640236</v>
          </cell>
          <cell r="B94" t="str">
            <v>UQTR031</v>
          </cell>
          <cell r="C94">
            <v>46121</v>
          </cell>
          <cell r="D94">
            <v>1009956508</v>
          </cell>
          <cell r="E94" t="str">
            <v>tydc</v>
          </cell>
          <cell r="F94" t="str">
            <v>pUC57-Amp</v>
          </cell>
          <cell r="G94" t="str">
            <v>Blunt End</v>
          </cell>
          <cell r="H94" t="str">
            <v>Ampicillin</v>
          </cell>
          <cell r="I94">
            <v>1719</v>
          </cell>
          <cell r="J94" t="str">
            <v>2-4ug</v>
          </cell>
          <cell r="K94" t="str">
            <v>Lyophilized</v>
          </cell>
          <cell r="L94" t="str">
            <v>Ordered U0410</v>
          </cell>
          <cell r="M94" t="str">
            <v>XP1640236</v>
          </cell>
          <cell r="N94" t="str">
            <v>Needs IDT Screening, Screen Result: PASS</v>
          </cell>
          <cell r="Q94" t="str">
            <v>ACGCTCCTACATCTACCTGTACAAGATGGGCTCGCTGGGCAGCGACAACATCGCCGAGCTGGAGGCCAACGGCAGCGCCTTCAACCTGAACCCCCTGGACCCCGAGGAGTTCCGGCGCCAGGGCCACATGGTGATCGACTTCCTGGCGGACTACTACCAGAACGTGCACAAGTACCCCGTGCGCTCGCAGGTCGAGCCCGGCTACCTGAAGAAGATCCTGCCCGAGAGCGCCCCCAACCAGCCCGAGTCCCTGGAGACCATCCTGGACGACATCACCAACCACATCGTCCCCGGCATCACCCACTGGATGTCCCCCAACTACTTCGCCTACTTCCCCGCCAGCGGCTCGACCGCGGGCTTCCTGGGCGAGATGCTGTCCACGGGGTTCAACGCCGTGTGCTTCAACTGGATGAGCTCCCCGGCCGCGACCGAGCTGGAGACCATCGTGACCGACTGGCTGGGCAAGCTGCTGGCGCTGCCCGAGAAGTTCCTGTTCAGCGGCGGCGGTGGCGGCGTGCTGCAGGGCACGACCTGCGAGGCGATCCTCTGCACGATGACGGCCGCCCGCGACAAGGTGCTGAACAAGATCGGGAAGGACCAGATTGGGAAGCTCGTGGTGTACGGCAGCGACCAGACGCACTGCGCCCTGCAGAAGGCCGCGCAGATCGCGGGCATCCACCCCGCCAACTTCCGCGCCGTGCGCACGTTCAAGAGCGACGCGTTCGGCCTGAACCCTGAGGAGCTCCGGAAGGTGGTGTCGGCGGACGTGGAGGCTGGCCTGGTGCCGCTGTACCTGTGCCCGACCGTGGGCACCACTAGCTCCACCGCCGTGGACCAGCTGCGCGGCCTGTGCAGCGTCGCGGAGGAGCACGAGATGTGGGTGCACGTGGACGCGGCCTACGCGGGCTCCGCCTGCATCTGCCCCGAGTTCCGCCACTTCATCGACGGCGTGGAGGGCGCGACGTCGTTCAGCTTCAACGCGCACAAGTGGTTCTTCACTAACCTCGACTGTTGCTGCCTGTGGGTGCGCGAGCCCCAGGCGCTGATCAACGCCCTGAGCACCAACCCGGAGTACCTGCGCAACAAGGCCACCGAGAGCCAGAAGGTGGTGGACTACAAGGACTGGCAGATCGCGCTGAGCCGCCGCTTCCGCGCGATGAAGCTGTGGATGGTGATGCGCAGCTACGGCGTGGCCAACCTGCGCAACTTCCTGCGCAGCCACGTGAAGATGGCGAAGCTGTTCGAGGGCCTGGTGTCCGCCGACGAGCGCTTCGAGATCGTGGTGCCCCGGAACTTCGCCATGGTGTGCTTCCGCTTCAACCCGACGAAGAAGGACCGGGCCACCGGCCCGGAGCTGGACCGCATCAACGAGTTCAACCGCCGCCTGCTGGAGGAGGTGAACTCGACCGGCCGCCTGTACATGACCCACGCCGTCATCGGCGGCGAGTACGTGATGCGCTTCGCGACCGGCGCTACGCTGACCGAGGAGAAGCACGTCCGCTGCGCCTGGCGCGCCATCCAGGAGCACGCGGCCGCCCTGATGGAGAAGATCTACTACAAGCAGCGCAACGGCGGCGGGTCGGGCGGCGGCGGCTCGGGCGGCGGCGGCTCGTACCCGTACGACGTCCCGGACTACGCCTACCCGTACGACGTGCCCGACTACGCCTACCCCTACGACGTGCCCGACTACGCCTAAATTTTTTTTTAAACTAAAATAAA</v>
          </cell>
          <cell r="R94" t="str">
            <v xml:space="preserve"> </v>
          </cell>
        </row>
        <row r="96">
          <cell r="R96" t="str">
            <v xml:space="preserve"> </v>
          </cell>
        </row>
        <row r="97">
          <cell r="R97" t="str">
            <v xml:space="preserve"> </v>
          </cell>
        </row>
        <row r="1047339">
          <cell r="A1047339"/>
          <cell r="C1047339"/>
          <cell r="D1047339"/>
          <cell r="K1047339"/>
          <cell r="M1047339"/>
          <cell r="N1047339"/>
          <cell r="O1047339"/>
          <cell r="P1047339"/>
          <cell r="Y1047339"/>
        </row>
        <row r="1048286">
          <cell r="L1048286"/>
        </row>
        <row r="1048455">
          <cell r="C1048455"/>
        </row>
        <row r="1048514">
          <cell r="D104851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14"/>
  <sheetViews>
    <sheetView tabSelected="1" zoomScale="70" zoomScaleNormal="70" workbookViewId="0">
      <selection activeCell="B7" sqref="A7:B7"/>
    </sheetView>
  </sheetViews>
  <sheetFormatPr defaultRowHeight="15" x14ac:dyDescent="0.25"/>
  <cols>
    <col min="1" max="1" width="28.28515625" style="1" customWidth="1"/>
    <col min="2" max="2" width="16.28515625" style="1" customWidth="1"/>
    <col min="3" max="3" width="16.5703125" style="1" customWidth="1"/>
    <col min="4" max="4" width="13.140625" style="1" customWidth="1"/>
    <col min="5" max="5" width="13.85546875" style="1" customWidth="1"/>
    <col min="6" max="6" width="20.28515625" style="1" customWidth="1"/>
    <col min="7" max="7" width="21" style="1" customWidth="1"/>
    <col min="8" max="8" width="13.42578125" style="1" customWidth="1"/>
    <col min="9" max="9" width="65.140625" style="1" customWidth="1"/>
    <col min="10" max="10" width="25.42578125" style="1" bestFit="1" customWidth="1"/>
    <col min="11" max="11" width="15.7109375" style="1" customWidth="1"/>
    <col min="12" max="12" width="23.7109375" style="2" bestFit="1" customWidth="1"/>
    <col min="13" max="13" width="15.5703125" style="1" bestFit="1" customWidth="1"/>
    <col min="14" max="14" width="11.140625" style="1" bestFit="1" customWidth="1"/>
    <col min="15" max="15" width="21" style="1" customWidth="1"/>
    <col min="16" max="16" width="17.140625" style="1" customWidth="1"/>
    <col min="17" max="17" width="12" style="1" bestFit="1" customWidth="1"/>
    <col min="18" max="18" width="29.85546875" style="1" bestFit="1" customWidth="1"/>
    <col min="19" max="20" width="13.140625" style="4" bestFit="1" customWidth="1"/>
    <col min="21" max="21" width="9.140625" style="1"/>
    <col min="22" max="22" width="10.7109375" style="1" bestFit="1" customWidth="1"/>
    <col min="23" max="23" width="16.42578125" style="1" customWidth="1"/>
    <col min="24" max="24" width="15.85546875" style="1" bestFit="1" customWidth="1"/>
    <col min="25" max="26" width="9.140625" style="1"/>
    <col min="27" max="27" width="12.42578125" style="1" bestFit="1" customWidth="1"/>
    <col min="28" max="16384" width="9.140625" style="1"/>
  </cols>
  <sheetData>
    <row r="1" spans="1:28" s="7" customFormat="1" x14ac:dyDescent="0.25">
      <c r="A1" s="7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6</v>
      </c>
      <c r="G1" s="7" t="s">
        <v>5</v>
      </c>
      <c r="H1" s="7" t="s">
        <v>7</v>
      </c>
      <c r="I1" s="7" t="s">
        <v>27</v>
      </c>
      <c r="J1" s="7" t="s">
        <v>9</v>
      </c>
      <c r="K1" s="7" t="s">
        <v>10</v>
      </c>
      <c r="L1" s="8" t="s">
        <v>11</v>
      </c>
      <c r="M1" s="7" t="s">
        <v>8</v>
      </c>
      <c r="N1" s="7" t="s">
        <v>12</v>
      </c>
      <c r="O1" s="7" t="s">
        <v>14</v>
      </c>
      <c r="P1" s="7" t="s">
        <v>15</v>
      </c>
      <c r="Q1" s="7" t="s">
        <v>16</v>
      </c>
      <c r="R1" s="7" t="s">
        <v>17</v>
      </c>
      <c r="S1" s="9" t="s">
        <v>13</v>
      </c>
      <c r="T1" s="9" t="s">
        <v>19</v>
      </c>
      <c r="U1" s="7" t="s">
        <v>18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</row>
    <row r="2" spans="1:28" x14ac:dyDescent="0.25">
      <c r="A2" s="6"/>
      <c r="B2" s="6" t="str">
        <f t="shared" ref="B2" si="0">IF(A2="","",LEFT(A2,FIND(".",A2)-1))</f>
        <v/>
      </c>
      <c r="C2" s="6" t="str">
        <f t="shared" ref="C2" si="1">IF(A2="","",IF(ISNUMBER(FIND(".",A2,FIND(".",A2)+1)),MID(A2,FIND(".",A2)+1,FIND(".",A2,FIND(".",A2)+1)-FIND(".",A2)-1),MID(A2,FIND(".",A2)+1,LEN(A2)-FIND(".",A2))))</f>
        <v/>
      </c>
      <c r="D2" s="6"/>
      <c r="E2" s="6"/>
      <c r="F2" s="6"/>
      <c r="G2" s="6"/>
      <c r="H2" s="6" t="str">
        <f t="shared" ref="H2" si="2">IF(A2="","","*SS OK Only")</f>
        <v/>
      </c>
      <c r="I2" s="6" t="str">
        <f t="shared" ref="I2" ca="1" si="3">IF(A2="","",B2&amp;" "&amp;K2&amp;" in "&amp;M2&amp;" "&amp;TEXT(TODAY(),"yyyy-mm-dd")&amp;" "&amp;C2)</f>
        <v/>
      </c>
      <c r="J2" s="3" t="str">
        <f t="shared" ref="J2" si="4">IF(A2="","",B2)</f>
        <v/>
      </c>
      <c r="K2" s="6" t="str">
        <f>IF(A2="","",VLOOKUP(J2,[1]Initiated!$A:$Y,2,0))</f>
        <v/>
      </c>
      <c r="L2" s="2" t="str">
        <f>IF(A2="","",VLOOKUP(J2,[1]Initiated!$A:$Y,5,FALSE))</f>
        <v/>
      </c>
      <c r="M2" s="6" t="str">
        <f>IF(A2="","",VLOOKUP(J2,[1]Initiated!$A:$Y,6,FALSE))</f>
        <v/>
      </c>
      <c r="N2" s="6" t="str">
        <f>IF(A2="","",VLOOKUP(J2,[1]Initiated!$A:$Y,9,FALSE))</f>
        <v/>
      </c>
      <c r="O2" s="3" t="str">
        <f t="shared" ref="O2" si="5">IF(A2="","",C2)</f>
        <v/>
      </c>
      <c r="P2" s="6" t="str">
        <f>IF(OR(A2="", ISNUMBER(SEARCH("PFr", C2))), "", VLOOKUP(J2, [1]Initiated!$A:$Y, 7, FALSE))</f>
        <v/>
      </c>
      <c r="Q2" s="6" t="str">
        <f>IF(OR(A2="", ISNUMBER(SEARCH("PFr", C2))), "", VLOOKUP(J2, [1]Initiated!$A:$Y, 8, 0))</f>
        <v/>
      </c>
      <c r="R2" s="5" t="str">
        <f>IF(OR(C2="", ISNUMBER(SEARCH("PFr", C2))), "", IF(ISNUMBER(SEARCH("16C", C2)), "16°C", IF(ISNUMBER(SEARCH("22C", C2)), "22°C", IF(ISNUMBER(SEARCH("25C", C2)), "25°C", IF(ISNUMBER(SEARCH("30C", C2)), "30°C", "37°C")))))</f>
        <v/>
      </c>
      <c r="S2" s="4" t="str">
        <f>IF(A2="","",VLOOKUP(J2,[1]Initiated!$A:$Y,3,FALSE))</f>
        <v/>
      </c>
      <c r="T2" s="4" t="str">
        <f t="shared" ref="T2" ca="1" si="6">IF(A2="","",TODAY())</f>
        <v/>
      </c>
      <c r="U2" s="5" t="str">
        <f t="shared" ref="U2" si="7">IF(A2="","","-20°C")</f>
        <v/>
      </c>
      <c r="V2" s="5" t="str">
        <f>IF(OR(C2="", ISNUMBER(SEARCH("PFr", C2))), "", IF(ISNUMBER(SEARCH("Stbl", C2)), "Stable", "Top10"))</f>
        <v/>
      </c>
      <c r="W2" s="4" t="str">
        <f>IF(A2="","",VLOOKUP(J2,[1]Initiated!$A:$Y,10,0))</f>
        <v/>
      </c>
      <c r="X2" s="5" t="str">
        <f>IF(OR(A2="", ISNUMBER(SEARCH("PFr", C2))), "", "E. coli")</f>
        <v/>
      </c>
      <c r="Y2" s="6"/>
      <c r="Z2" s="6"/>
      <c r="AA2" s="6"/>
      <c r="AB2" s="6"/>
    </row>
    <row r="3" spans="1:28" x14ac:dyDescent="0.25">
      <c r="A3" s="6"/>
      <c r="B3" s="6" t="str">
        <f t="shared" ref="B3:B66" si="8">IF(A3="","",LEFT(A3,FIND(".",A3)-1))</f>
        <v/>
      </c>
      <c r="C3" s="6" t="str">
        <f t="shared" ref="C3:C66" si="9">IF(A3="","",IF(ISNUMBER(FIND(".",A3,FIND(".",A3)+1)),MID(A3,FIND(".",A3)+1,FIND(".",A3,FIND(".",A3)+1)-FIND(".",A3)-1),MID(A3,FIND(".",A3)+1,LEN(A3)-FIND(".",A3))))</f>
        <v/>
      </c>
      <c r="D3" s="6"/>
      <c r="E3" s="6"/>
      <c r="F3" s="6"/>
      <c r="G3" s="6"/>
      <c r="H3" s="6" t="str">
        <f t="shared" ref="H3:H66" si="10">IF(A3="","","*SS OK Only")</f>
        <v/>
      </c>
      <c r="I3" s="6" t="str">
        <f t="shared" ref="I3:I66" ca="1" si="11">IF(A3="","",B3&amp;" "&amp;K3&amp;" in "&amp;M3&amp;" "&amp;TEXT(TODAY(),"yyyy-mm-dd")&amp;" "&amp;C3)</f>
        <v/>
      </c>
      <c r="J3" s="3" t="str">
        <f t="shared" ref="J3:J66" si="12">IF(A3="","",B3)</f>
        <v/>
      </c>
      <c r="K3" s="6" t="str">
        <f>IF(A3="","",VLOOKUP(J3,[1]Initiated!$A:$Y,2,0))</f>
        <v/>
      </c>
      <c r="L3" s="2" t="str">
        <f>IF(A3="","",VLOOKUP(J3,[1]Initiated!$A:$Y,5,FALSE))</f>
        <v/>
      </c>
      <c r="M3" s="6" t="str">
        <f>IF(A3="","",VLOOKUP(J3,[1]Initiated!$A:$Y,6,FALSE))</f>
        <v/>
      </c>
      <c r="N3" s="6" t="str">
        <f>IF(A3="","",VLOOKUP(J3,[1]Initiated!$A:$Y,9,FALSE))</f>
        <v/>
      </c>
      <c r="O3" s="3" t="str">
        <f t="shared" ref="O3:O66" si="13">IF(A3="","",C3)</f>
        <v/>
      </c>
      <c r="P3" s="6" t="str">
        <f>IF(OR(A3="", ISNUMBER(SEARCH("PFr", C3))), "", VLOOKUP(J3, [1]Initiated!$A:$Y, 7, FALSE))</f>
        <v/>
      </c>
      <c r="Q3" s="6" t="str">
        <f>IF(OR(A3="", ISNUMBER(SEARCH("PFr", C3))), "", VLOOKUP(J3, [1]Initiated!$A:$Y, 8, 0))</f>
        <v/>
      </c>
      <c r="R3" s="5" t="str">
        <f t="shared" ref="R3:R66" si="14">IF(OR(C3="", ISNUMBER(SEARCH("PFr", C3))), "", IF(ISNUMBER(SEARCH("16C", C3)), "16°C", IF(ISNUMBER(SEARCH("22C", C3)), "22°C", IF(ISNUMBER(SEARCH("25C", C3)), "25°C", IF(ISNUMBER(SEARCH("30C", C3)), "30°C", "37°C")))))</f>
        <v/>
      </c>
      <c r="S3" s="4" t="str">
        <f>IF(A3="","",VLOOKUP(J3,[1]Initiated!$A:$Y,3,FALSE))</f>
        <v/>
      </c>
      <c r="T3" s="4" t="str">
        <f t="shared" ref="T3:T66" ca="1" si="15">IF(A3="","",TODAY())</f>
        <v/>
      </c>
      <c r="U3" s="5" t="str">
        <f t="shared" ref="U3:U66" si="16">IF(A3="","","-20°C")</f>
        <v/>
      </c>
      <c r="V3" s="5" t="str">
        <f t="shared" ref="V3:V66" si="17">IF(OR(C3="", ISNUMBER(SEARCH("PFr", C3))), "", IF(ISNUMBER(SEARCH("Stbl", C3)), "Stable", "Top10"))</f>
        <v/>
      </c>
      <c r="W3" s="4" t="str">
        <f>IF(A3="","",VLOOKUP(J3,[1]Initiated!$A:$Y,10,0))</f>
        <v/>
      </c>
      <c r="X3" s="5" t="str">
        <f t="shared" ref="X3:X66" si="18">IF(OR(A3="", ISNUMBER(SEARCH("PFr", C3))), "", "E. coli")</f>
        <v/>
      </c>
      <c r="Y3" s="6"/>
      <c r="Z3" s="6"/>
      <c r="AA3" s="6"/>
      <c r="AB3" s="6"/>
    </row>
    <row r="4" spans="1:28" x14ac:dyDescent="0.25">
      <c r="A4" s="6"/>
      <c r="B4" s="6" t="str">
        <f t="shared" si="8"/>
        <v/>
      </c>
      <c r="C4" s="6" t="str">
        <f t="shared" si="9"/>
        <v/>
      </c>
      <c r="D4" s="6"/>
      <c r="E4" s="6"/>
      <c r="F4" s="6"/>
      <c r="G4" s="6"/>
      <c r="H4" s="6" t="str">
        <f t="shared" si="10"/>
        <v/>
      </c>
      <c r="I4" s="6" t="str">
        <f t="shared" ca="1" si="11"/>
        <v/>
      </c>
      <c r="J4" s="3" t="str">
        <f t="shared" si="12"/>
        <v/>
      </c>
      <c r="K4" s="6" t="str">
        <f>IF(A4="","",VLOOKUP(J4,[1]Initiated!$A:$Y,2,0))</f>
        <v/>
      </c>
      <c r="L4" s="2" t="str">
        <f>IF(A4="","",VLOOKUP(J4,[1]Initiated!$A:$Y,5,FALSE))</f>
        <v/>
      </c>
      <c r="M4" s="6" t="str">
        <f>IF(A4="","",VLOOKUP(J4,[1]Initiated!$A:$Y,6,FALSE))</f>
        <v/>
      </c>
      <c r="N4" s="6" t="str">
        <f>IF(A4="","",VLOOKUP(J4,[1]Initiated!$A:$Y,9,FALSE))</f>
        <v/>
      </c>
      <c r="O4" s="3" t="str">
        <f t="shared" si="13"/>
        <v/>
      </c>
      <c r="P4" s="6" t="str">
        <f>IF(OR(A4="", ISNUMBER(SEARCH("PFr", C4))), "", VLOOKUP(J4, [1]Initiated!$A:$Y, 7, FALSE))</f>
        <v/>
      </c>
      <c r="Q4" s="6" t="str">
        <f>IF(OR(A4="", ISNUMBER(SEARCH("PFr", C4))), "", VLOOKUP(J4, [1]Initiated!$A:$Y, 8, 0))</f>
        <v/>
      </c>
      <c r="R4" s="5" t="str">
        <f t="shared" si="14"/>
        <v/>
      </c>
      <c r="S4" s="4" t="str">
        <f>IF(A4="","",VLOOKUP(J4,[1]Initiated!$A:$Y,3,FALSE))</f>
        <v/>
      </c>
      <c r="T4" s="4" t="str">
        <f t="shared" ca="1" si="15"/>
        <v/>
      </c>
      <c r="U4" s="5" t="str">
        <f t="shared" si="16"/>
        <v/>
      </c>
      <c r="V4" s="5" t="str">
        <f t="shared" si="17"/>
        <v/>
      </c>
      <c r="W4" s="4" t="str">
        <f>IF(A4="","",VLOOKUP(J4,[1]Initiated!$A:$Y,10,0))</f>
        <v/>
      </c>
      <c r="X4" s="5" t="str">
        <f t="shared" si="18"/>
        <v/>
      </c>
      <c r="Y4" s="6"/>
      <c r="Z4" s="6"/>
      <c r="AA4" s="6"/>
      <c r="AB4" s="6"/>
    </row>
    <row r="5" spans="1:28" x14ac:dyDescent="0.25">
      <c r="A5" s="6"/>
      <c r="B5" s="6" t="str">
        <f t="shared" si="8"/>
        <v/>
      </c>
      <c r="C5" s="6" t="str">
        <f t="shared" si="9"/>
        <v/>
      </c>
      <c r="D5" s="6"/>
      <c r="E5" s="6"/>
      <c r="F5" s="6"/>
      <c r="G5" s="6"/>
      <c r="H5" s="6" t="str">
        <f t="shared" si="10"/>
        <v/>
      </c>
      <c r="I5" s="6" t="str">
        <f t="shared" ca="1" si="11"/>
        <v/>
      </c>
      <c r="J5" s="3" t="str">
        <f t="shared" si="12"/>
        <v/>
      </c>
      <c r="K5" s="6" t="str">
        <f>IF(A5="","",VLOOKUP(J5,[1]Initiated!$A:$Y,2,0))</f>
        <v/>
      </c>
      <c r="L5" s="2" t="str">
        <f>IF(A5="","",VLOOKUP(J5,[1]Initiated!$A:$Y,5,FALSE))</f>
        <v/>
      </c>
      <c r="M5" s="6" t="str">
        <f>IF(A5="","",VLOOKUP(J5,[1]Initiated!$A:$Y,6,FALSE))</f>
        <v/>
      </c>
      <c r="N5" s="6" t="str">
        <f>IF(A5="","",VLOOKUP(J5,[1]Initiated!$A:$Y,9,FALSE))</f>
        <v/>
      </c>
      <c r="O5" s="3" t="str">
        <f t="shared" si="13"/>
        <v/>
      </c>
      <c r="P5" s="6" t="str">
        <f>IF(OR(A5="", ISNUMBER(SEARCH("PFr", C5))), "", VLOOKUP(J5, [1]Initiated!$A:$Y, 7, FALSE))</f>
        <v/>
      </c>
      <c r="Q5" s="6" t="str">
        <f>IF(OR(A5="", ISNUMBER(SEARCH("PFr", C5))), "", VLOOKUP(J5, [1]Initiated!$A:$Y, 8, 0))</f>
        <v/>
      </c>
      <c r="R5" s="5" t="str">
        <f t="shared" si="14"/>
        <v/>
      </c>
      <c r="S5" s="4" t="str">
        <f>IF(A5="","",VLOOKUP(J5,[1]Initiated!$A:$Y,3,FALSE))</f>
        <v/>
      </c>
      <c r="T5" s="4" t="str">
        <f t="shared" ca="1" si="15"/>
        <v/>
      </c>
      <c r="U5" s="5" t="str">
        <f t="shared" si="16"/>
        <v/>
      </c>
      <c r="V5" s="5" t="str">
        <f t="shared" si="17"/>
        <v/>
      </c>
      <c r="W5" s="4" t="str">
        <f>IF(A5="","",VLOOKUP(J5,[1]Initiated!$A:$Y,10,0))</f>
        <v/>
      </c>
      <c r="X5" s="5" t="str">
        <f t="shared" si="18"/>
        <v/>
      </c>
      <c r="Y5" s="6"/>
      <c r="Z5" s="6"/>
      <c r="AA5" s="6"/>
      <c r="AB5" s="6"/>
    </row>
    <row r="6" spans="1:28" x14ac:dyDescent="0.25">
      <c r="A6" s="6"/>
      <c r="B6" s="6" t="str">
        <f t="shared" si="8"/>
        <v/>
      </c>
      <c r="C6" s="6" t="str">
        <f t="shared" si="9"/>
        <v/>
      </c>
      <c r="D6" s="6"/>
      <c r="E6" s="6"/>
      <c r="F6" s="6"/>
      <c r="G6" s="6"/>
      <c r="H6" s="6" t="str">
        <f t="shared" si="10"/>
        <v/>
      </c>
      <c r="I6" s="6" t="str">
        <f t="shared" ca="1" si="11"/>
        <v/>
      </c>
      <c r="J6" s="3" t="str">
        <f t="shared" si="12"/>
        <v/>
      </c>
      <c r="K6" s="6" t="str">
        <f>IF(A6="","",VLOOKUP(J6,[1]Initiated!$A:$Y,2,0))</f>
        <v/>
      </c>
      <c r="L6" s="2" t="str">
        <f>IF(A6="","",VLOOKUP(J6,[1]Initiated!$A:$Y,5,FALSE))</f>
        <v/>
      </c>
      <c r="M6" s="6" t="str">
        <f>IF(A6="","",VLOOKUP(J6,[1]Initiated!$A:$Y,6,FALSE))</f>
        <v/>
      </c>
      <c r="N6" s="6" t="str">
        <f>IF(A6="","",VLOOKUP(J6,[1]Initiated!$A:$Y,9,FALSE))</f>
        <v/>
      </c>
      <c r="O6" s="3" t="str">
        <f t="shared" si="13"/>
        <v/>
      </c>
      <c r="P6" s="6" t="str">
        <f>IF(OR(A6="", ISNUMBER(SEARCH("PFr", C6))), "", VLOOKUP(J6, [1]Initiated!$A:$Y, 7, FALSE))</f>
        <v/>
      </c>
      <c r="Q6" s="6" t="str">
        <f>IF(OR(A6="", ISNUMBER(SEARCH("PFr", C6))), "", VLOOKUP(J6, [1]Initiated!$A:$Y, 8, 0))</f>
        <v/>
      </c>
      <c r="R6" s="5" t="str">
        <f t="shared" si="14"/>
        <v/>
      </c>
      <c r="S6" s="4" t="str">
        <f>IF(A6="","",VLOOKUP(J6,[1]Initiated!$A:$Y,3,FALSE))</f>
        <v/>
      </c>
      <c r="T6" s="4" t="str">
        <f t="shared" ca="1" si="15"/>
        <v/>
      </c>
      <c r="U6" s="5" t="str">
        <f t="shared" si="16"/>
        <v/>
      </c>
      <c r="V6" s="5" t="str">
        <f t="shared" si="17"/>
        <v/>
      </c>
      <c r="W6" s="4" t="str">
        <f>IF(A6="","",VLOOKUP(J6,[1]Initiated!$A:$Y,10,0))</f>
        <v/>
      </c>
      <c r="X6" s="5" t="str">
        <f t="shared" si="18"/>
        <v/>
      </c>
      <c r="Y6" s="6"/>
      <c r="Z6" s="6"/>
      <c r="AA6" s="6"/>
      <c r="AB6" s="6"/>
    </row>
    <row r="7" spans="1:28" x14ac:dyDescent="0.25">
      <c r="A7" s="6"/>
      <c r="B7" s="6" t="str">
        <f t="shared" si="8"/>
        <v/>
      </c>
      <c r="C7" s="6" t="str">
        <f t="shared" si="9"/>
        <v/>
      </c>
      <c r="D7" s="6"/>
      <c r="E7" s="6"/>
      <c r="F7" s="6"/>
      <c r="G7" s="6"/>
      <c r="H7" s="6" t="str">
        <f t="shared" si="10"/>
        <v/>
      </c>
      <c r="I7" s="6" t="str">
        <f t="shared" ca="1" si="11"/>
        <v/>
      </c>
      <c r="J7" s="3" t="str">
        <f t="shared" si="12"/>
        <v/>
      </c>
      <c r="K7" s="6" t="str">
        <f>IF(A7="","",VLOOKUP(J7,[1]Initiated!$A:$Y,2,0))</f>
        <v/>
      </c>
      <c r="L7" s="2" t="str">
        <f>IF(A7="","",VLOOKUP(J7,[1]Initiated!$A:$Y,5,FALSE))</f>
        <v/>
      </c>
      <c r="M7" s="6" t="str">
        <f>IF(A7="","",VLOOKUP(J7,[1]Initiated!$A:$Y,6,FALSE))</f>
        <v/>
      </c>
      <c r="N7" s="6" t="str">
        <f>IF(A7="","",VLOOKUP(J7,[1]Initiated!$A:$Y,9,FALSE))</f>
        <v/>
      </c>
      <c r="O7" s="3" t="str">
        <f t="shared" si="13"/>
        <v/>
      </c>
      <c r="P7" s="6" t="str">
        <f>IF(OR(A7="", ISNUMBER(SEARCH("PFr", C7))), "", VLOOKUP(J7, [1]Initiated!$A:$Y, 7, FALSE))</f>
        <v/>
      </c>
      <c r="Q7" s="6" t="str">
        <f>IF(OR(A7="", ISNUMBER(SEARCH("PFr", C7))), "", VLOOKUP(J7, [1]Initiated!$A:$Y, 8, 0))</f>
        <v/>
      </c>
      <c r="R7" s="5" t="str">
        <f t="shared" si="14"/>
        <v/>
      </c>
      <c r="S7" s="4" t="str">
        <f>IF(A7="","",VLOOKUP(J7,[1]Initiated!$A:$Y,3,FALSE))</f>
        <v/>
      </c>
      <c r="T7" s="4" t="str">
        <f t="shared" ca="1" si="15"/>
        <v/>
      </c>
      <c r="U7" s="5" t="str">
        <f t="shared" si="16"/>
        <v/>
      </c>
      <c r="V7" s="5" t="str">
        <f t="shared" si="17"/>
        <v/>
      </c>
      <c r="W7" s="4" t="str">
        <f>IF(A7="","",VLOOKUP(J7,[1]Initiated!$A:$Y,10,0))</f>
        <v/>
      </c>
      <c r="X7" s="5" t="str">
        <f t="shared" si="18"/>
        <v/>
      </c>
      <c r="Y7" s="6"/>
      <c r="Z7" s="6"/>
      <c r="AA7" s="6"/>
      <c r="AB7" s="6"/>
    </row>
    <row r="8" spans="1:28" x14ac:dyDescent="0.25">
      <c r="A8" s="6"/>
      <c r="B8" s="6" t="str">
        <f t="shared" si="8"/>
        <v/>
      </c>
      <c r="C8" s="6" t="str">
        <f t="shared" si="9"/>
        <v/>
      </c>
      <c r="D8" s="6"/>
      <c r="E8" s="6"/>
      <c r="F8" s="6"/>
      <c r="G8" s="6"/>
      <c r="H8" s="6" t="str">
        <f t="shared" si="10"/>
        <v/>
      </c>
      <c r="I8" s="6" t="str">
        <f t="shared" ca="1" si="11"/>
        <v/>
      </c>
      <c r="J8" s="3" t="str">
        <f t="shared" si="12"/>
        <v/>
      </c>
      <c r="K8" s="6" t="str">
        <f>IF(A8="","",VLOOKUP(J8,[1]Initiated!$A:$Y,2,0))</f>
        <v/>
      </c>
      <c r="L8" s="2" t="str">
        <f>IF(A8="","",VLOOKUP(J8,[1]Initiated!$A:$Y,5,FALSE))</f>
        <v/>
      </c>
      <c r="M8" s="6" t="str">
        <f>IF(A8="","",VLOOKUP(J8,[1]Initiated!$A:$Y,6,FALSE))</f>
        <v/>
      </c>
      <c r="N8" s="6" t="str">
        <f>IF(A8="","",VLOOKUP(J8,[1]Initiated!$A:$Y,9,FALSE))</f>
        <v/>
      </c>
      <c r="O8" s="3" t="str">
        <f t="shared" si="13"/>
        <v/>
      </c>
      <c r="P8" s="6" t="str">
        <f>IF(OR(A8="", ISNUMBER(SEARCH("PFr", C8))), "", VLOOKUP(J8, [1]Initiated!$A:$Y, 7, FALSE))</f>
        <v/>
      </c>
      <c r="Q8" s="6" t="str">
        <f>IF(OR(A8="", ISNUMBER(SEARCH("PFr", C8))), "", VLOOKUP(J8, [1]Initiated!$A:$Y, 8, 0))</f>
        <v/>
      </c>
      <c r="R8" s="5" t="str">
        <f t="shared" si="14"/>
        <v/>
      </c>
      <c r="S8" s="4" t="str">
        <f>IF(A8="","",VLOOKUP(J8,[1]Initiated!$A:$Y,3,FALSE))</f>
        <v/>
      </c>
      <c r="T8" s="4" t="str">
        <f t="shared" ca="1" si="15"/>
        <v/>
      </c>
      <c r="U8" s="5" t="str">
        <f t="shared" si="16"/>
        <v/>
      </c>
      <c r="V8" s="5" t="str">
        <f t="shared" si="17"/>
        <v/>
      </c>
      <c r="W8" s="4" t="str">
        <f>IF(A8="","",VLOOKUP(J8,[1]Initiated!$A:$Y,10,0))</f>
        <v/>
      </c>
      <c r="X8" s="5" t="str">
        <f t="shared" si="18"/>
        <v/>
      </c>
      <c r="Y8" s="6"/>
      <c r="Z8" s="6"/>
      <c r="AA8" s="6"/>
      <c r="AB8" s="6"/>
    </row>
    <row r="9" spans="1:28" x14ac:dyDescent="0.25">
      <c r="A9" s="6"/>
      <c r="B9" s="6" t="str">
        <f t="shared" si="8"/>
        <v/>
      </c>
      <c r="C9" s="6" t="str">
        <f t="shared" si="9"/>
        <v/>
      </c>
      <c r="D9" s="6"/>
      <c r="E9" s="6"/>
      <c r="F9" s="6"/>
      <c r="G9" s="6"/>
      <c r="H9" s="6" t="str">
        <f t="shared" si="10"/>
        <v/>
      </c>
      <c r="I9" s="6" t="str">
        <f t="shared" ca="1" si="11"/>
        <v/>
      </c>
      <c r="J9" s="3" t="str">
        <f t="shared" si="12"/>
        <v/>
      </c>
      <c r="K9" s="6" t="str">
        <f>IF(A9="","",VLOOKUP(J9,[1]Initiated!$A:$Y,2,0))</f>
        <v/>
      </c>
      <c r="L9" s="2" t="str">
        <f>IF(A9="","",VLOOKUP(J9,[1]Initiated!$A:$Y,5,FALSE))</f>
        <v/>
      </c>
      <c r="M9" s="6" t="str">
        <f>IF(A9="","",VLOOKUP(J9,[1]Initiated!$A:$Y,6,FALSE))</f>
        <v/>
      </c>
      <c r="N9" s="6" t="str">
        <f>IF(A9="","",VLOOKUP(J9,[1]Initiated!$A:$Y,9,FALSE))</f>
        <v/>
      </c>
      <c r="O9" s="3" t="str">
        <f t="shared" si="13"/>
        <v/>
      </c>
      <c r="P9" s="6" t="str">
        <f>IF(OR(A9="", ISNUMBER(SEARCH("PFr", C9))), "", VLOOKUP(J9, [1]Initiated!$A:$Y, 7, FALSE))</f>
        <v/>
      </c>
      <c r="Q9" s="6" t="str">
        <f>IF(OR(A9="", ISNUMBER(SEARCH("PFr", C9))), "", VLOOKUP(J9, [1]Initiated!$A:$Y, 8, 0))</f>
        <v/>
      </c>
      <c r="R9" s="5" t="str">
        <f t="shared" si="14"/>
        <v/>
      </c>
      <c r="S9" s="4" t="str">
        <f>IF(A9="","",VLOOKUP(J9,[1]Initiated!$A:$Y,3,FALSE))</f>
        <v/>
      </c>
      <c r="T9" s="4" t="str">
        <f t="shared" ca="1" si="15"/>
        <v/>
      </c>
      <c r="U9" s="5" t="str">
        <f t="shared" si="16"/>
        <v/>
      </c>
      <c r="V9" s="5" t="str">
        <f t="shared" si="17"/>
        <v/>
      </c>
      <c r="W9" s="4" t="str">
        <f>IF(A9="","",VLOOKUP(J9,[1]Initiated!$A:$Y,10,0))</f>
        <v/>
      </c>
      <c r="X9" s="5" t="str">
        <f t="shared" si="18"/>
        <v/>
      </c>
      <c r="Y9" s="6"/>
      <c r="Z9" s="6"/>
      <c r="AA9" s="6"/>
      <c r="AB9" s="6"/>
    </row>
    <row r="10" spans="1:28" x14ac:dyDescent="0.25">
      <c r="A10" s="6"/>
      <c r="B10" s="6" t="str">
        <f t="shared" si="8"/>
        <v/>
      </c>
      <c r="C10" s="6" t="str">
        <f t="shared" si="9"/>
        <v/>
      </c>
      <c r="D10" s="6"/>
      <c r="E10" s="6"/>
      <c r="F10" s="6"/>
      <c r="G10" s="6"/>
      <c r="H10" s="6" t="str">
        <f t="shared" si="10"/>
        <v/>
      </c>
      <c r="I10" s="6" t="str">
        <f t="shared" ca="1" si="11"/>
        <v/>
      </c>
      <c r="J10" s="3" t="str">
        <f t="shared" si="12"/>
        <v/>
      </c>
      <c r="K10" s="6" t="str">
        <f>IF(A10="","",VLOOKUP(J10,[1]Initiated!$A:$Y,2,0))</f>
        <v/>
      </c>
      <c r="L10" s="2" t="str">
        <f>IF(A10="","",VLOOKUP(J10,[1]Initiated!$A:$Y,5,FALSE))</f>
        <v/>
      </c>
      <c r="M10" s="6" t="str">
        <f>IF(A10="","",VLOOKUP(J10,[1]Initiated!$A:$Y,6,FALSE))</f>
        <v/>
      </c>
      <c r="N10" s="6" t="str">
        <f>IF(A10="","",VLOOKUP(J10,[1]Initiated!$A:$Y,9,FALSE))</f>
        <v/>
      </c>
      <c r="O10" s="3" t="str">
        <f t="shared" si="13"/>
        <v/>
      </c>
      <c r="P10" s="6" t="str">
        <f>IF(OR(A10="", ISNUMBER(SEARCH("PFr", C10))), "", VLOOKUP(J10, [1]Initiated!$A:$Y, 7, FALSE))</f>
        <v/>
      </c>
      <c r="Q10" s="6" t="str">
        <f>IF(OR(A10="", ISNUMBER(SEARCH("PFr", C10))), "", VLOOKUP(J10, [1]Initiated!$A:$Y, 8, 0))</f>
        <v/>
      </c>
      <c r="R10" s="5" t="str">
        <f t="shared" si="14"/>
        <v/>
      </c>
      <c r="S10" s="4" t="str">
        <f>IF(A10="","",VLOOKUP(J10,[1]Initiated!$A:$Y,3,FALSE))</f>
        <v/>
      </c>
      <c r="T10" s="4" t="str">
        <f t="shared" ca="1" si="15"/>
        <v/>
      </c>
      <c r="U10" s="5" t="str">
        <f t="shared" si="16"/>
        <v/>
      </c>
      <c r="V10" s="5" t="str">
        <f t="shared" si="17"/>
        <v/>
      </c>
      <c r="W10" s="4" t="str">
        <f>IF(A10="","",VLOOKUP(J10,[1]Initiated!$A:$Y,10,0))</f>
        <v/>
      </c>
      <c r="X10" s="5" t="str">
        <f t="shared" si="18"/>
        <v/>
      </c>
      <c r="Y10" s="6"/>
      <c r="Z10" s="6"/>
      <c r="AA10" s="6"/>
      <c r="AB10" s="6"/>
    </row>
    <row r="11" spans="1:28" x14ac:dyDescent="0.25">
      <c r="A11" s="6"/>
      <c r="B11" s="6" t="str">
        <f t="shared" si="8"/>
        <v/>
      </c>
      <c r="C11" s="6" t="str">
        <f t="shared" si="9"/>
        <v/>
      </c>
      <c r="D11" s="6"/>
      <c r="E11" s="6"/>
      <c r="F11" s="6"/>
      <c r="G11" s="6"/>
      <c r="H11" s="6" t="str">
        <f t="shared" si="10"/>
        <v/>
      </c>
      <c r="I11" s="6" t="str">
        <f t="shared" ca="1" si="11"/>
        <v/>
      </c>
      <c r="J11" s="3" t="str">
        <f t="shared" si="12"/>
        <v/>
      </c>
      <c r="K11" s="6" t="str">
        <f>IF(A11="","",VLOOKUP(J11,[1]Initiated!$A:$Y,2,0))</f>
        <v/>
      </c>
      <c r="L11" s="2" t="str">
        <f>IF(A11="","",VLOOKUP(J11,[1]Initiated!$A:$Y,5,FALSE))</f>
        <v/>
      </c>
      <c r="M11" s="6" t="str">
        <f>IF(A11="","",VLOOKUP(J11,[1]Initiated!$A:$Y,6,FALSE))</f>
        <v/>
      </c>
      <c r="N11" s="6" t="str">
        <f>IF(A11="","",VLOOKUP(J11,[1]Initiated!$A:$Y,9,FALSE))</f>
        <v/>
      </c>
      <c r="O11" s="3" t="str">
        <f t="shared" si="13"/>
        <v/>
      </c>
      <c r="P11" s="6" t="str">
        <f>IF(OR(A11="", ISNUMBER(SEARCH("PFr", C11))), "", VLOOKUP(J11, [1]Initiated!$A:$Y, 7, FALSE))</f>
        <v/>
      </c>
      <c r="Q11" s="6" t="str">
        <f>IF(OR(A11="", ISNUMBER(SEARCH("PFr", C11))), "", VLOOKUP(J11, [1]Initiated!$A:$Y, 8, 0))</f>
        <v/>
      </c>
      <c r="R11" s="5" t="str">
        <f t="shared" si="14"/>
        <v/>
      </c>
      <c r="S11" s="4" t="str">
        <f>IF(A11="","",VLOOKUP(J11,[1]Initiated!$A:$Y,3,FALSE))</f>
        <v/>
      </c>
      <c r="T11" s="4" t="str">
        <f t="shared" ca="1" si="15"/>
        <v/>
      </c>
      <c r="U11" s="5" t="str">
        <f t="shared" si="16"/>
        <v/>
      </c>
      <c r="V11" s="5" t="str">
        <f t="shared" si="17"/>
        <v/>
      </c>
      <c r="W11" s="4" t="str">
        <f>IF(A11="","",VLOOKUP(J11,[1]Initiated!$A:$Y,10,0))</f>
        <v/>
      </c>
      <c r="X11" s="5" t="str">
        <f t="shared" si="18"/>
        <v/>
      </c>
      <c r="Y11" s="6"/>
      <c r="Z11" s="6"/>
      <c r="AA11" s="6"/>
      <c r="AB11" s="6"/>
    </row>
    <row r="12" spans="1:28" x14ac:dyDescent="0.25">
      <c r="A12" s="6"/>
      <c r="B12" s="6" t="str">
        <f t="shared" si="8"/>
        <v/>
      </c>
      <c r="C12" s="6" t="str">
        <f t="shared" si="9"/>
        <v/>
      </c>
      <c r="D12" s="6"/>
      <c r="E12" s="6"/>
      <c r="F12" s="6"/>
      <c r="G12" s="6"/>
      <c r="H12" s="6" t="str">
        <f t="shared" si="10"/>
        <v/>
      </c>
      <c r="I12" s="6" t="str">
        <f t="shared" ca="1" si="11"/>
        <v/>
      </c>
      <c r="J12" s="3" t="str">
        <f t="shared" si="12"/>
        <v/>
      </c>
      <c r="K12" s="6" t="str">
        <f>IF(A12="","",VLOOKUP(J12,[1]Initiated!$A:$Y,2,0))</f>
        <v/>
      </c>
      <c r="L12" s="2" t="str">
        <f>IF(A12="","",VLOOKUP(J12,[1]Initiated!$A:$Y,5,FALSE))</f>
        <v/>
      </c>
      <c r="M12" s="6" t="str">
        <f>IF(A12="","",VLOOKUP(J12,[1]Initiated!$A:$Y,6,FALSE))</f>
        <v/>
      </c>
      <c r="N12" s="6" t="str">
        <f>IF(A12="","",VLOOKUP(J12,[1]Initiated!$A:$Y,9,FALSE))</f>
        <v/>
      </c>
      <c r="O12" s="3" t="str">
        <f t="shared" si="13"/>
        <v/>
      </c>
      <c r="P12" s="6" t="str">
        <f>IF(OR(A12="", ISNUMBER(SEARCH("PFr", C12))), "", VLOOKUP(J12, [1]Initiated!$A:$Y, 7, FALSE))</f>
        <v/>
      </c>
      <c r="Q12" s="6" t="str">
        <f>IF(OR(A12="", ISNUMBER(SEARCH("PFr", C12))), "", VLOOKUP(J12, [1]Initiated!$A:$Y, 8, 0))</f>
        <v/>
      </c>
      <c r="R12" s="5" t="str">
        <f t="shared" si="14"/>
        <v/>
      </c>
      <c r="S12" s="4" t="str">
        <f>IF(A12="","",VLOOKUP(J12,[1]Initiated!$A:$Y,3,FALSE))</f>
        <v/>
      </c>
      <c r="T12" s="4" t="str">
        <f t="shared" ca="1" si="15"/>
        <v/>
      </c>
      <c r="U12" s="5" t="str">
        <f t="shared" si="16"/>
        <v/>
      </c>
      <c r="V12" s="5" t="str">
        <f t="shared" si="17"/>
        <v/>
      </c>
      <c r="W12" s="4" t="str">
        <f>IF(A12="","",VLOOKUP(J12,[1]Initiated!$A:$Y,10,0))</f>
        <v/>
      </c>
      <c r="X12" s="5" t="str">
        <f t="shared" si="18"/>
        <v/>
      </c>
      <c r="Y12" s="6"/>
      <c r="Z12" s="6"/>
      <c r="AA12" s="6"/>
      <c r="AB12" s="6"/>
    </row>
    <row r="13" spans="1:28" x14ac:dyDescent="0.25">
      <c r="A13" s="6"/>
      <c r="B13" s="6" t="str">
        <f t="shared" si="8"/>
        <v/>
      </c>
      <c r="C13" s="6" t="str">
        <f t="shared" si="9"/>
        <v/>
      </c>
      <c r="D13" s="6"/>
      <c r="E13" s="6"/>
      <c r="F13" s="6"/>
      <c r="G13" s="6"/>
      <c r="H13" s="6" t="str">
        <f t="shared" si="10"/>
        <v/>
      </c>
      <c r="I13" s="6" t="str">
        <f t="shared" ca="1" si="11"/>
        <v/>
      </c>
      <c r="J13" s="3" t="str">
        <f t="shared" si="12"/>
        <v/>
      </c>
      <c r="K13" s="6" t="str">
        <f>IF(A13="","",VLOOKUP(J13,[1]Initiated!$A:$Y,2,0))</f>
        <v/>
      </c>
      <c r="L13" s="2" t="str">
        <f>IF(A13="","",VLOOKUP(J13,[1]Initiated!$A:$Y,5,FALSE))</f>
        <v/>
      </c>
      <c r="M13" s="6" t="str">
        <f>IF(A13="","",VLOOKUP(J13,[1]Initiated!$A:$Y,6,FALSE))</f>
        <v/>
      </c>
      <c r="N13" s="6" t="str">
        <f>IF(A13="","",VLOOKUP(J13,[1]Initiated!$A:$Y,9,FALSE))</f>
        <v/>
      </c>
      <c r="O13" s="3" t="str">
        <f t="shared" si="13"/>
        <v/>
      </c>
      <c r="P13" s="6" t="str">
        <f>IF(OR(A13="", ISNUMBER(SEARCH("PFr", C13))), "", VLOOKUP(J13, [1]Initiated!$A:$Y, 7, FALSE))</f>
        <v/>
      </c>
      <c r="Q13" s="6" t="str">
        <f>IF(OR(A13="", ISNUMBER(SEARCH("PFr", C13))), "", VLOOKUP(J13, [1]Initiated!$A:$Y, 8, 0))</f>
        <v/>
      </c>
      <c r="R13" s="5" t="str">
        <f t="shared" si="14"/>
        <v/>
      </c>
      <c r="S13" s="4" t="str">
        <f>IF(A13="","",VLOOKUP(J13,[1]Initiated!$A:$Y,3,FALSE))</f>
        <v/>
      </c>
      <c r="T13" s="4" t="str">
        <f t="shared" ca="1" si="15"/>
        <v/>
      </c>
      <c r="U13" s="5" t="str">
        <f t="shared" si="16"/>
        <v/>
      </c>
      <c r="V13" s="5" t="str">
        <f t="shared" si="17"/>
        <v/>
      </c>
      <c r="W13" s="4" t="str">
        <f>IF(A13="","",VLOOKUP(J13,[1]Initiated!$A:$Y,10,0))</f>
        <v/>
      </c>
      <c r="X13" s="5" t="str">
        <f t="shared" si="18"/>
        <v/>
      </c>
      <c r="Y13" s="6"/>
      <c r="Z13" s="6"/>
      <c r="AA13" s="6"/>
      <c r="AB13" s="6"/>
    </row>
    <row r="14" spans="1:28" x14ac:dyDescent="0.25">
      <c r="A14" s="6"/>
      <c r="B14" s="6" t="str">
        <f t="shared" si="8"/>
        <v/>
      </c>
      <c r="C14" s="6" t="str">
        <f t="shared" si="9"/>
        <v/>
      </c>
      <c r="D14" s="6"/>
      <c r="E14" s="6"/>
      <c r="F14" s="6"/>
      <c r="G14" s="6"/>
      <c r="H14" s="6" t="str">
        <f t="shared" si="10"/>
        <v/>
      </c>
      <c r="I14" s="6" t="str">
        <f t="shared" ca="1" si="11"/>
        <v/>
      </c>
      <c r="J14" s="3" t="str">
        <f t="shared" si="12"/>
        <v/>
      </c>
      <c r="K14" s="6" t="str">
        <f>IF(A14="","",VLOOKUP(J14,[1]Initiated!$A:$Y,2,0))</f>
        <v/>
      </c>
      <c r="L14" s="2" t="str">
        <f>IF(A14="","",VLOOKUP(J14,[1]Initiated!$A:$Y,5,FALSE))</f>
        <v/>
      </c>
      <c r="M14" s="6" t="str">
        <f>IF(A14="","",VLOOKUP(J14,[1]Initiated!$A:$Y,6,FALSE))</f>
        <v/>
      </c>
      <c r="N14" s="6" t="str">
        <f>IF(A14="","",VLOOKUP(J14,[1]Initiated!$A:$Y,9,FALSE))</f>
        <v/>
      </c>
      <c r="O14" s="3" t="str">
        <f t="shared" si="13"/>
        <v/>
      </c>
      <c r="P14" s="6" t="str">
        <f>IF(OR(A14="", ISNUMBER(SEARCH("PFr", C14))), "", VLOOKUP(J14, [1]Initiated!$A:$Y, 7, FALSE))</f>
        <v/>
      </c>
      <c r="Q14" s="6" t="str">
        <f>IF(OR(A14="", ISNUMBER(SEARCH("PFr", C14))), "", VLOOKUP(J14, [1]Initiated!$A:$Y, 8, 0))</f>
        <v/>
      </c>
      <c r="R14" s="5" t="str">
        <f t="shared" si="14"/>
        <v/>
      </c>
      <c r="S14" s="4" t="str">
        <f>IF(A14="","",VLOOKUP(J14,[1]Initiated!$A:$Y,3,FALSE))</f>
        <v/>
      </c>
      <c r="T14" s="4" t="str">
        <f t="shared" ca="1" si="15"/>
        <v/>
      </c>
      <c r="U14" s="5" t="str">
        <f t="shared" si="16"/>
        <v/>
      </c>
      <c r="V14" s="5" t="str">
        <f t="shared" si="17"/>
        <v/>
      </c>
      <c r="W14" s="4" t="str">
        <f>IF(A14="","",VLOOKUP(J14,[1]Initiated!$A:$Y,10,0))</f>
        <v/>
      </c>
      <c r="X14" s="5" t="str">
        <f t="shared" si="18"/>
        <v/>
      </c>
      <c r="Y14" s="6"/>
      <c r="Z14" s="6"/>
      <c r="AA14" s="6"/>
      <c r="AB14" s="6"/>
    </row>
    <row r="15" spans="1:28" x14ac:dyDescent="0.25">
      <c r="A15" s="6"/>
      <c r="B15" s="6" t="str">
        <f t="shared" si="8"/>
        <v/>
      </c>
      <c r="C15" s="6" t="str">
        <f t="shared" si="9"/>
        <v/>
      </c>
      <c r="D15" s="6"/>
      <c r="E15" s="6"/>
      <c r="F15" s="6"/>
      <c r="G15" s="6"/>
      <c r="H15" s="6" t="str">
        <f t="shared" si="10"/>
        <v/>
      </c>
      <c r="I15" s="6" t="str">
        <f t="shared" ca="1" si="11"/>
        <v/>
      </c>
      <c r="J15" s="3" t="str">
        <f t="shared" si="12"/>
        <v/>
      </c>
      <c r="K15" s="6" t="str">
        <f>IF(A15="","",VLOOKUP(J15,[1]Initiated!$A:$Y,2,0))</f>
        <v/>
      </c>
      <c r="L15" s="2" t="str">
        <f>IF(A15="","",VLOOKUP(J15,[1]Initiated!$A:$Y,5,FALSE))</f>
        <v/>
      </c>
      <c r="M15" s="6" t="str">
        <f>IF(A15="","",VLOOKUP(J15,[1]Initiated!$A:$Y,6,FALSE))</f>
        <v/>
      </c>
      <c r="N15" s="6" t="str">
        <f>IF(A15="","",VLOOKUP(J15,[1]Initiated!$A:$Y,9,FALSE))</f>
        <v/>
      </c>
      <c r="O15" s="3" t="str">
        <f t="shared" si="13"/>
        <v/>
      </c>
      <c r="P15" s="6" t="str">
        <f>IF(OR(A15="", ISNUMBER(SEARCH("PFr", C15))), "", VLOOKUP(J15, [1]Initiated!$A:$Y, 7, FALSE))</f>
        <v/>
      </c>
      <c r="Q15" s="6" t="str">
        <f>IF(OR(A15="", ISNUMBER(SEARCH("PFr", C15))), "", VLOOKUP(J15, [1]Initiated!$A:$Y, 8, 0))</f>
        <v/>
      </c>
      <c r="R15" s="5" t="str">
        <f t="shared" si="14"/>
        <v/>
      </c>
      <c r="S15" s="4" t="str">
        <f>IF(A15="","",VLOOKUP(J15,[1]Initiated!$A:$Y,3,FALSE))</f>
        <v/>
      </c>
      <c r="T15" s="4" t="str">
        <f t="shared" ca="1" si="15"/>
        <v/>
      </c>
      <c r="U15" s="5" t="str">
        <f t="shared" si="16"/>
        <v/>
      </c>
      <c r="V15" s="5" t="str">
        <f t="shared" si="17"/>
        <v/>
      </c>
      <c r="W15" s="4" t="str">
        <f>IF(A15="","",VLOOKUP(J15,[1]Initiated!$A:$Y,10,0))</f>
        <v/>
      </c>
      <c r="X15" s="5" t="str">
        <f t="shared" si="18"/>
        <v/>
      </c>
      <c r="Y15" s="6"/>
      <c r="Z15" s="6"/>
      <c r="AA15" s="6"/>
      <c r="AB15" s="6"/>
    </row>
    <row r="16" spans="1:28" x14ac:dyDescent="0.25">
      <c r="A16" s="6"/>
      <c r="B16" s="6" t="str">
        <f t="shared" si="8"/>
        <v/>
      </c>
      <c r="C16" s="6" t="str">
        <f t="shared" si="9"/>
        <v/>
      </c>
      <c r="D16" s="6"/>
      <c r="E16" s="6"/>
      <c r="F16" s="6"/>
      <c r="G16" s="6"/>
      <c r="H16" s="6" t="str">
        <f t="shared" si="10"/>
        <v/>
      </c>
      <c r="I16" s="6" t="str">
        <f t="shared" ca="1" si="11"/>
        <v/>
      </c>
      <c r="J16" s="3" t="str">
        <f t="shared" si="12"/>
        <v/>
      </c>
      <c r="K16" s="6" t="str">
        <f>IF(A16="","",VLOOKUP(J16,[1]Initiated!$A:$Y,2,0))</f>
        <v/>
      </c>
      <c r="L16" s="2" t="str">
        <f>IF(A16="","",VLOOKUP(J16,[1]Initiated!$A:$Y,5,FALSE))</f>
        <v/>
      </c>
      <c r="M16" s="6" t="str">
        <f>IF(A16="","",VLOOKUP(J16,[1]Initiated!$A:$Y,6,FALSE))</f>
        <v/>
      </c>
      <c r="N16" s="6" t="str">
        <f>IF(A16="","",VLOOKUP(J16,[1]Initiated!$A:$Y,9,FALSE))</f>
        <v/>
      </c>
      <c r="O16" s="3" t="str">
        <f t="shared" si="13"/>
        <v/>
      </c>
      <c r="P16" s="6" t="str">
        <f>IF(OR(A16="", ISNUMBER(SEARCH("PFr", C16))), "", VLOOKUP(J16, [1]Initiated!$A:$Y, 7, FALSE))</f>
        <v/>
      </c>
      <c r="Q16" s="6" t="str">
        <f>IF(OR(A16="", ISNUMBER(SEARCH("PFr", C16))), "", VLOOKUP(J16, [1]Initiated!$A:$Y, 8, 0))</f>
        <v/>
      </c>
      <c r="R16" s="5" t="str">
        <f t="shared" si="14"/>
        <v/>
      </c>
      <c r="S16" s="4" t="str">
        <f>IF(A16="","",VLOOKUP(J16,[1]Initiated!$A:$Y,3,FALSE))</f>
        <v/>
      </c>
      <c r="T16" s="4" t="str">
        <f t="shared" ca="1" si="15"/>
        <v/>
      </c>
      <c r="U16" s="5" t="str">
        <f t="shared" si="16"/>
        <v/>
      </c>
      <c r="V16" s="5" t="str">
        <f t="shared" si="17"/>
        <v/>
      </c>
      <c r="W16" s="4" t="str">
        <f>IF(A16="","",VLOOKUP(J16,[1]Initiated!$A:$Y,10,0))</f>
        <v/>
      </c>
      <c r="X16" s="5" t="str">
        <f t="shared" si="18"/>
        <v/>
      </c>
      <c r="Y16" s="6"/>
      <c r="Z16" s="6"/>
      <c r="AA16" s="6"/>
      <c r="AB16" s="6"/>
    </row>
    <row r="17" spans="1:28" x14ac:dyDescent="0.25">
      <c r="A17" s="6"/>
      <c r="B17" s="6" t="str">
        <f t="shared" si="8"/>
        <v/>
      </c>
      <c r="C17" s="6" t="str">
        <f t="shared" si="9"/>
        <v/>
      </c>
      <c r="D17" s="6"/>
      <c r="E17" s="6"/>
      <c r="F17" s="6"/>
      <c r="G17" s="6"/>
      <c r="H17" s="6" t="str">
        <f t="shared" si="10"/>
        <v/>
      </c>
      <c r="I17" s="6" t="str">
        <f t="shared" ca="1" si="11"/>
        <v/>
      </c>
      <c r="J17" s="3" t="str">
        <f t="shared" si="12"/>
        <v/>
      </c>
      <c r="K17" s="6" t="str">
        <f>IF(A17="","",VLOOKUP(J17,[1]Initiated!$A:$Y,2,0))</f>
        <v/>
      </c>
      <c r="L17" s="2" t="str">
        <f>IF(A17="","",VLOOKUP(J17,[1]Initiated!$A:$Y,5,FALSE))</f>
        <v/>
      </c>
      <c r="M17" s="6" t="str">
        <f>IF(A17="","",VLOOKUP(J17,[1]Initiated!$A:$Y,6,FALSE))</f>
        <v/>
      </c>
      <c r="N17" s="6" t="str">
        <f>IF(A17="","",VLOOKUP(J17,[1]Initiated!$A:$Y,9,FALSE))</f>
        <v/>
      </c>
      <c r="O17" s="3" t="str">
        <f t="shared" si="13"/>
        <v/>
      </c>
      <c r="P17" s="6" t="str">
        <f>IF(OR(A17="", ISNUMBER(SEARCH("PFr", C17))), "", VLOOKUP(J17, [1]Initiated!$A:$Y, 7, FALSE))</f>
        <v/>
      </c>
      <c r="Q17" s="6" t="str">
        <f>IF(OR(A17="", ISNUMBER(SEARCH("PFr", C17))), "", VLOOKUP(J17, [1]Initiated!$A:$Y, 8, 0))</f>
        <v/>
      </c>
      <c r="R17" s="5" t="str">
        <f t="shared" si="14"/>
        <v/>
      </c>
      <c r="S17" s="4" t="str">
        <f>IF(A17="","",VLOOKUP(J17,[1]Initiated!$A:$Y,3,FALSE))</f>
        <v/>
      </c>
      <c r="T17" s="4" t="str">
        <f t="shared" ca="1" si="15"/>
        <v/>
      </c>
      <c r="U17" s="5" t="str">
        <f t="shared" si="16"/>
        <v/>
      </c>
      <c r="V17" s="5" t="str">
        <f t="shared" si="17"/>
        <v/>
      </c>
      <c r="W17" s="4" t="str">
        <f>IF(A17="","",VLOOKUP(J17,[1]Initiated!$A:$Y,10,0))</f>
        <v/>
      </c>
      <c r="X17" s="5" t="str">
        <f t="shared" si="18"/>
        <v/>
      </c>
      <c r="Y17" s="6"/>
      <c r="Z17" s="6"/>
      <c r="AA17" s="6"/>
      <c r="AB17" s="6"/>
    </row>
    <row r="18" spans="1:28" x14ac:dyDescent="0.25">
      <c r="A18" s="6"/>
      <c r="B18" s="6" t="str">
        <f t="shared" si="8"/>
        <v/>
      </c>
      <c r="C18" s="6" t="str">
        <f t="shared" si="9"/>
        <v/>
      </c>
      <c r="D18" s="6"/>
      <c r="E18" s="6"/>
      <c r="F18" s="6"/>
      <c r="G18" s="6"/>
      <c r="H18" s="6" t="str">
        <f t="shared" si="10"/>
        <v/>
      </c>
      <c r="I18" s="6" t="str">
        <f t="shared" ca="1" si="11"/>
        <v/>
      </c>
      <c r="J18" s="3" t="str">
        <f t="shared" si="12"/>
        <v/>
      </c>
      <c r="K18" s="6" t="str">
        <f>IF(A18="","",VLOOKUP(J18,[1]Initiated!$A:$Y,2,0))</f>
        <v/>
      </c>
      <c r="L18" s="2" t="str">
        <f>IF(A18="","",VLOOKUP(J18,[1]Initiated!$A:$Y,5,FALSE))</f>
        <v/>
      </c>
      <c r="M18" s="6" t="str">
        <f>IF(A18="","",VLOOKUP(J18,[1]Initiated!$A:$Y,6,FALSE))</f>
        <v/>
      </c>
      <c r="N18" s="6" t="str">
        <f>IF(A18="","",VLOOKUP(J18,[1]Initiated!$A:$Y,9,FALSE))</f>
        <v/>
      </c>
      <c r="O18" s="3" t="str">
        <f t="shared" si="13"/>
        <v/>
      </c>
      <c r="P18" s="6" t="str">
        <f>IF(OR(A18="", ISNUMBER(SEARCH("PFr", C18))), "", VLOOKUP(J18, [1]Initiated!$A:$Y, 7, FALSE))</f>
        <v/>
      </c>
      <c r="Q18" s="6" t="str">
        <f>IF(OR(A18="", ISNUMBER(SEARCH("PFr", C18))), "", VLOOKUP(J18, [1]Initiated!$A:$Y, 8, 0))</f>
        <v/>
      </c>
      <c r="R18" s="5" t="str">
        <f t="shared" si="14"/>
        <v/>
      </c>
      <c r="S18" s="4" t="str">
        <f>IF(A18="","",VLOOKUP(J18,[1]Initiated!$A:$Y,3,FALSE))</f>
        <v/>
      </c>
      <c r="T18" s="4" t="str">
        <f t="shared" ca="1" si="15"/>
        <v/>
      </c>
      <c r="U18" s="5" t="str">
        <f t="shared" si="16"/>
        <v/>
      </c>
      <c r="V18" s="5" t="str">
        <f t="shared" si="17"/>
        <v/>
      </c>
      <c r="W18" s="4" t="str">
        <f>IF(A18="","",VLOOKUP(J18,[1]Initiated!$A:$Y,10,0))</f>
        <v/>
      </c>
      <c r="X18" s="5" t="str">
        <f t="shared" si="18"/>
        <v/>
      </c>
      <c r="Y18" s="6"/>
      <c r="Z18" s="6"/>
      <c r="AA18" s="6"/>
      <c r="AB18" s="6"/>
    </row>
    <row r="19" spans="1:28" x14ac:dyDescent="0.25">
      <c r="A19" s="6"/>
      <c r="B19" s="6" t="str">
        <f t="shared" si="8"/>
        <v/>
      </c>
      <c r="C19" s="6" t="str">
        <f t="shared" si="9"/>
        <v/>
      </c>
      <c r="D19" s="6"/>
      <c r="E19" s="6"/>
      <c r="F19" s="6"/>
      <c r="G19" s="6"/>
      <c r="H19" s="6" t="str">
        <f t="shared" si="10"/>
        <v/>
      </c>
      <c r="I19" s="6" t="str">
        <f t="shared" ca="1" si="11"/>
        <v/>
      </c>
      <c r="J19" s="3" t="str">
        <f t="shared" si="12"/>
        <v/>
      </c>
      <c r="K19" s="6" t="str">
        <f>IF(A19="","",VLOOKUP(J19,[1]Initiated!$A:$Y,2,0))</f>
        <v/>
      </c>
      <c r="L19" s="2" t="str">
        <f>IF(A19="","",VLOOKUP(J19,[1]Initiated!$A:$Y,5,FALSE))</f>
        <v/>
      </c>
      <c r="M19" s="6" t="str">
        <f>IF(A19="","",VLOOKUP(J19,[1]Initiated!$A:$Y,6,FALSE))</f>
        <v/>
      </c>
      <c r="N19" s="6" t="str">
        <f>IF(A19="","",VLOOKUP(J19,[1]Initiated!$A:$Y,9,FALSE))</f>
        <v/>
      </c>
      <c r="O19" s="3" t="str">
        <f t="shared" si="13"/>
        <v/>
      </c>
      <c r="P19" s="6" t="str">
        <f>IF(OR(A19="", ISNUMBER(SEARCH("PFr", C19))), "", VLOOKUP(J19, [1]Initiated!$A:$Y, 7, FALSE))</f>
        <v/>
      </c>
      <c r="Q19" s="6" t="str">
        <f>IF(OR(A19="", ISNUMBER(SEARCH("PFr", C19))), "", VLOOKUP(J19, [1]Initiated!$A:$Y, 8, 0))</f>
        <v/>
      </c>
      <c r="R19" s="5" t="str">
        <f t="shared" si="14"/>
        <v/>
      </c>
      <c r="S19" s="4" t="str">
        <f>IF(A19="","",VLOOKUP(J19,[1]Initiated!$A:$Y,3,FALSE))</f>
        <v/>
      </c>
      <c r="T19" s="4" t="str">
        <f t="shared" ca="1" si="15"/>
        <v/>
      </c>
      <c r="U19" s="5" t="str">
        <f t="shared" si="16"/>
        <v/>
      </c>
      <c r="V19" s="5" t="str">
        <f t="shared" si="17"/>
        <v/>
      </c>
      <c r="W19" s="4" t="str">
        <f>IF(A19="","",VLOOKUP(J19,[1]Initiated!$A:$Y,10,0))</f>
        <v/>
      </c>
      <c r="X19" s="5" t="str">
        <f t="shared" si="18"/>
        <v/>
      </c>
      <c r="Y19" s="6"/>
      <c r="Z19" s="6"/>
      <c r="AA19" s="6"/>
      <c r="AB19" s="6"/>
    </row>
    <row r="20" spans="1:28" x14ac:dyDescent="0.25">
      <c r="A20" s="6"/>
      <c r="B20" s="6" t="str">
        <f t="shared" si="8"/>
        <v/>
      </c>
      <c r="C20" s="6" t="str">
        <f t="shared" si="9"/>
        <v/>
      </c>
      <c r="D20" s="6"/>
      <c r="E20" s="6"/>
      <c r="F20" s="6"/>
      <c r="G20" s="6"/>
      <c r="H20" s="6" t="str">
        <f t="shared" si="10"/>
        <v/>
      </c>
      <c r="I20" s="6" t="str">
        <f t="shared" ca="1" si="11"/>
        <v/>
      </c>
      <c r="J20" s="3" t="str">
        <f t="shared" si="12"/>
        <v/>
      </c>
      <c r="K20" s="6" t="str">
        <f>IF(A20="","",VLOOKUP(J20,[1]Initiated!$A:$Y,2,0))</f>
        <v/>
      </c>
      <c r="L20" s="2" t="str">
        <f>IF(A20="","",VLOOKUP(J20,[1]Initiated!$A:$Y,5,FALSE))</f>
        <v/>
      </c>
      <c r="M20" s="6" t="str">
        <f>IF(A20="","",VLOOKUP(J20,[1]Initiated!$A:$Y,6,FALSE))</f>
        <v/>
      </c>
      <c r="N20" s="6" t="str">
        <f>IF(A20="","",VLOOKUP(J20,[1]Initiated!$A:$Y,9,FALSE))</f>
        <v/>
      </c>
      <c r="O20" s="3" t="str">
        <f t="shared" si="13"/>
        <v/>
      </c>
      <c r="P20" s="6" t="str">
        <f>IF(OR(A20="", ISNUMBER(SEARCH("PFr", C20))), "", VLOOKUP(J20, [1]Initiated!$A:$Y, 7, FALSE))</f>
        <v/>
      </c>
      <c r="Q20" s="6" t="str">
        <f>IF(OR(A20="", ISNUMBER(SEARCH("PFr", C20))), "", VLOOKUP(J20, [1]Initiated!$A:$Y, 8, 0))</f>
        <v/>
      </c>
      <c r="R20" s="5" t="str">
        <f t="shared" si="14"/>
        <v/>
      </c>
      <c r="S20" s="4" t="str">
        <f>IF(A20="","",VLOOKUP(J20,[1]Initiated!$A:$Y,3,FALSE))</f>
        <v/>
      </c>
      <c r="T20" s="4" t="str">
        <f t="shared" ca="1" si="15"/>
        <v/>
      </c>
      <c r="U20" s="5" t="str">
        <f t="shared" si="16"/>
        <v/>
      </c>
      <c r="V20" s="5" t="str">
        <f t="shared" si="17"/>
        <v/>
      </c>
      <c r="W20" s="4" t="str">
        <f>IF(A20="","",VLOOKUP(J20,[1]Initiated!$A:$Y,10,0))</f>
        <v/>
      </c>
      <c r="X20" s="5" t="str">
        <f t="shared" si="18"/>
        <v/>
      </c>
      <c r="Y20" s="6"/>
      <c r="Z20" s="6"/>
      <c r="AA20" s="6"/>
      <c r="AB20" s="6"/>
    </row>
    <row r="21" spans="1:28" x14ac:dyDescent="0.25">
      <c r="A21" s="6"/>
      <c r="B21" s="6" t="str">
        <f t="shared" si="8"/>
        <v/>
      </c>
      <c r="C21" s="6" t="str">
        <f t="shared" si="9"/>
        <v/>
      </c>
      <c r="D21" s="6"/>
      <c r="E21" s="6"/>
      <c r="F21" s="6"/>
      <c r="G21" s="6"/>
      <c r="H21" s="6" t="str">
        <f t="shared" si="10"/>
        <v/>
      </c>
      <c r="I21" s="6" t="str">
        <f t="shared" ca="1" si="11"/>
        <v/>
      </c>
      <c r="J21" s="3" t="str">
        <f t="shared" si="12"/>
        <v/>
      </c>
      <c r="K21" s="6" t="str">
        <f>IF(A21="","",VLOOKUP(J21,[1]Initiated!$A:$Y,2,0))</f>
        <v/>
      </c>
      <c r="L21" s="2" t="str">
        <f>IF(A21="","",VLOOKUP(J21,[1]Initiated!$A:$Y,5,FALSE))</f>
        <v/>
      </c>
      <c r="M21" s="6" t="str">
        <f>IF(A21="","",VLOOKUP(J21,[1]Initiated!$A:$Y,6,FALSE))</f>
        <v/>
      </c>
      <c r="N21" s="6" t="str">
        <f>IF(A21="","",VLOOKUP(J21,[1]Initiated!$A:$Y,9,FALSE))</f>
        <v/>
      </c>
      <c r="O21" s="3" t="str">
        <f t="shared" si="13"/>
        <v/>
      </c>
      <c r="P21" s="6" t="str">
        <f>IF(OR(A21="", ISNUMBER(SEARCH("PFr", C21))), "", VLOOKUP(J21, [1]Initiated!$A:$Y, 7, FALSE))</f>
        <v/>
      </c>
      <c r="Q21" s="6" t="str">
        <f>IF(OR(A21="", ISNUMBER(SEARCH("PFr", C21))), "", VLOOKUP(J21, [1]Initiated!$A:$Y, 8, 0))</f>
        <v/>
      </c>
      <c r="R21" s="5" t="str">
        <f t="shared" si="14"/>
        <v/>
      </c>
      <c r="S21" s="4" t="str">
        <f>IF(A21="","",VLOOKUP(J21,[1]Initiated!$A:$Y,3,FALSE))</f>
        <v/>
      </c>
      <c r="T21" s="4" t="str">
        <f t="shared" ca="1" si="15"/>
        <v/>
      </c>
      <c r="U21" s="5" t="str">
        <f t="shared" si="16"/>
        <v/>
      </c>
      <c r="V21" s="5" t="str">
        <f t="shared" si="17"/>
        <v/>
      </c>
      <c r="W21" s="4" t="str">
        <f>IF(A21="","",VLOOKUP(J21,[1]Initiated!$A:$Y,10,0))</f>
        <v/>
      </c>
      <c r="X21" s="5" t="str">
        <f t="shared" si="18"/>
        <v/>
      </c>
      <c r="Y21" s="6"/>
      <c r="Z21" s="6"/>
      <c r="AA21" s="6"/>
      <c r="AB21" s="6"/>
    </row>
    <row r="22" spans="1:28" x14ac:dyDescent="0.25">
      <c r="A22" s="6"/>
      <c r="B22" s="6" t="str">
        <f t="shared" si="8"/>
        <v/>
      </c>
      <c r="C22" s="6" t="str">
        <f t="shared" si="9"/>
        <v/>
      </c>
      <c r="D22" s="6"/>
      <c r="E22" s="6"/>
      <c r="F22" s="6"/>
      <c r="G22" s="6"/>
      <c r="H22" s="6" t="str">
        <f t="shared" si="10"/>
        <v/>
      </c>
      <c r="I22" s="6" t="str">
        <f t="shared" ca="1" si="11"/>
        <v/>
      </c>
      <c r="J22" s="3" t="str">
        <f t="shared" si="12"/>
        <v/>
      </c>
      <c r="K22" s="6" t="str">
        <f>IF(A22="","",VLOOKUP(J22,[1]Initiated!$A:$Y,2,0))</f>
        <v/>
      </c>
      <c r="L22" s="2" t="str">
        <f>IF(A22="","",VLOOKUP(J22,[1]Initiated!$A:$Y,5,FALSE))</f>
        <v/>
      </c>
      <c r="M22" s="6" t="str">
        <f>IF(A22="","",VLOOKUP(J22,[1]Initiated!$A:$Y,6,FALSE))</f>
        <v/>
      </c>
      <c r="N22" s="6" t="str">
        <f>IF(A22="","",VLOOKUP(J22,[1]Initiated!$A:$Y,9,FALSE))</f>
        <v/>
      </c>
      <c r="O22" s="3" t="str">
        <f t="shared" si="13"/>
        <v/>
      </c>
      <c r="P22" s="6" t="str">
        <f>IF(OR(A22="", ISNUMBER(SEARCH("PFr", C22))), "", VLOOKUP(J22, [1]Initiated!$A:$Y, 7, FALSE))</f>
        <v/>
      </c>
      <c r="Q22" s="6" t="str">
        <f>IF(OR(A22="", ISNUMBER(SEARCH("PFr", C22))), "", VLOOKUP(J22, [1]Initiated!$A:$Y, 8, 0))</f>
        <v/>
      </c>
      <c r="R22" s="5" t="str">
        <f t="shared" si="14"/>
        <v/>
      </c>
      <c r="S22" s="4" t="str">
        <f>IF(A22="","",VLOOKUP(J22,[1]Initiated!$A:$Y,3,FALSE))</f>
        <v/>
      </c>
      <c r="T22" s="4" t="str">
        <f t="shared" ca="1" si="15"/>
        <v/>
      </c>
      <c r="U22" s="5" t="str">
        <f t="shared" si="16"/>
        <v/>
      </c>
      <c r="V22" s="5" t="str">
        <f t="shared" si="17"/>
        <v/>
      </c>
      <c r="W22" s="4" t="str">
        <f>IF(A22="","",VLOOKUP(J22,[1]Initiated!$A:$Y,10,0))</f>
        <v/>
      </c>
      <c r="X22" s="5" t="str">
        <f t="shared" si="18"/>
        <v/>
      </c>
      <c r="Y22" s="6"/>
      <c r="Z22" s="6"/>
      <c r="AA22" s="6"/>
      <c r="AB22" s="6"/>
    </row>
    <row r="23" spans="1:28" x14ac:dyDescent="0.25">
      <c r="A23" s="6"/>
      <c r="B23" s="6" t="str">
        <f t="shared" si="8"/>
        <v/>
      </c>
      <c r="C23" s="6" t="str">
        <f t="shared" si="9"/>
        <v/>
      </c>
      <c r="D23" s="6"/>
      <c r="E23" s="6"/>
      <c r="F23" s="6"/>
      <c r="G23" s="6"/>
      <c r="H23" s="6" t="str">
        <f t="shared" si="10"/>
        <v/>
      </c>
      <c r="I23" s="6" t="str">
        <f t="shared" ca="1" si="11"/>
        <v/>
      </c>
      <c r="J23" s="3" t="str">
        <f t="shared" si="12"/>
        <v/>
      </c>
      <c r="K23" s="6" t="str">
        <f>IF(A23="","",VLOOKUP(J23,[1]Initiated!$A:$Y,2,0))</f>
        <v/>
      </c>
      <c r="L23" s="2" t="str">
        <f>IF(A23="","",VLOOKUP(J23,[1]Initiated!$A:$Y,5,FALSE))</f>
        <v/>
      </c>
      <c r="M23" s="6" t="str">
        <f>IF(A23="","",VLOOKUP(J23,[1]Initiated!$A:$Y,6,FALSE))</f>
        <v/>
      </c>
      <c r="N23" s="6" t="str">
        <f>IF(A23="","",VLOOKUP(J23,[1]Initiated!$A:$Y,9,FALSE))</f>
        <v/>
      </c>
      <c r="O23" s="3" t="str">
        <f t="shared" si="13"/>
        <v/>
      </c>
      <c r="P23" s="6" t="str">
        <f>IF(OR(A23="", ISNUMBER(SEARCH("PFr", C23))), "", VLOOKUP(J23, [1]Initiated!$A:$Y, 7, FALSE))</f>
        <v/>
      </c>
      <c r="Q23" s="6" t="str">
        <f>IF(OR(A23="", ISNUMBER(SEARCH("PFr", C23))), "", VLOOKUP(J23, [1]Initiated!$A:$Y, 8, 0))</f>
        <v/>
      </c>
      <c r="R23" s="5" t="str">
        <f t="shared" si="14"/>
        <v/>
      </c>
      <c r="S23" s="4" t="str">
        <f>IF(A23="","",VLOOKUP(J23,[1]Initiated!$A:$Y,3,FALSE))</f>
        <v/>
      </c>
      <c r="T23" s="4" t="str">
        <f t="shared" ca="1" si="15"/>
        <v/>
      </c>
      <c r="U23" s="5" t="str">
        <f t="shared" si="16"/>
        <v/>
      </c>
      <c r="V23" s="5" t="str">
        <f t="shared" si="17"/>
        <v/>
      </c>
      <c r="W23" s="4" t="str">
        <f>IF(A23="","",VLOOKUP(J23,[1]Initiated!$A:$Y,10,0))</f>
        <v/>
      </c>
      <c r="X23" s="5" t="str">
        <f t="shared" si="18"/>
        <v/>
      </c>
      <c r="Y23" s="6"/>
      <c r="Z23" s="6"/>
      <c r="AA23" s="6"/>
      <c r="AB23" s="6"/>
    </row>
    <row r="24" spans="1:28" x14ac:dyDescent="0.25">
      <c r="A24" s="6"/>
      <c r="B24" s="6" t="str">
        <f t="shared" si="8"/>
        <v/>
      </c>
      <c r="C24" s="6" t="str">
        <f t="shared" si="9"/>
        <v/>
      </c>
      <c r="D24" s="6"/>
      <c r="E24" s="6"/>
      <c r="F24" s="6"/>
      <c r="G24" s="6"/>
      <c r="H24" s="6" t="str">
        <f t="shared" si="10"/>
        <v/>
      </c>
      <c r="I24" s="6" t="str">
        <f t="shared" ca="1" si="11"/>
        <v/>
      </c>
      <c r="J24" s="3" t="str">
        <f t="shared" si="12"/>
        <v/>
      </c>
      <c r="K24" s="6" t="str">
        <f>IF(A24="","",VLOOKUP(J24,[1]Initiated!$A:$Y,2,0))</f>
        <v/>
      </c>
      <c r="L24" s="2" t="str">
        <f>IF(A24="","",VLOOKUP(J24,[1]Initiated!$A:$Y,5,FALSE))</f>
        <v/>
      </c>
      <c r="M24" s="6" t="str">
        <f>IF(A24="","",VLOOKUP(J24,[1]Initiated!$A:$Y,6,FALSE))</f>
        <v/>
      </c>
      <c r="N24" s="6" t="str">
        <f>IF(A24="","",VLOOKUP(J24,[1]Initiated!$A:$Y,9,FALSE))</f>
        <v/>
      </c>
      <c r="O24" s="3" t="str">
        <f t="shared" si="13"/>
        <v/>
      </c>
      <c r="P24" s="6" t="str">
        <f>IF(OR(A24="", ISNUMBER(SEARCH("PFr", C24))), "", VLOOKUP(J24, [1]Initiated!$A:$Y, 7, FALSE))</f>
        <v/>
      </c>
      <c r="Q24" s="6" t="str">
        <f>IF(OR(A24="", ISNUMBER(SEARCH("PFr", C24))), "", VLOOKUP(J24, [1]Initiated!$A:$Y, 8, 0))</f>
        <v/>
      </c>
      <c r="R24" s="5" t="str">
        <f t="shared" si="14"/>
        <v/>
      </c>
      <c r="S24" s="4" t="str">
        <f>IF(A24="","",VLOOKUP(J24,[1]Initiated!$A:$Y,3,FALSE))</f>
        <v/>
      </c>
      <c r="T24" s="4" t="str">
        <f t="shared" ca="1" si="15"/>
        <v/>
      </c>
      <c r="U24" s="5" t="str">
        <f t="shared" si="16"/>
        <v/>
      </c>
      <c r="V24" s="5" t="str">
        <f t="shared" si="17"/>
        <v/>
      </c>
      <c r="W24" s="4" t="str">
        <f>IF(A24="","",VLOOKUP(J24,[1]Initiated!$A:$Y,10,0))</f>
        <v/>
      </c>
      <c r="X24" s="5" t="str">
        <f t="shared" si="18"/>
        <v/>
      </c>
      <c r="Y24" s="6"/>
      <c r="Z24" s="6"/>
      <c r="AA24" s="6"/>
      <c r="AB24" s="6"/>
    </row>
    <row r="25" spans="1:28" x14ac:dyDescent="0.25">
      <c r="A25" s="6"/>
      <c r="B25" s="6" t="str">
        <f t="shared" si="8"/>
        <v/>
      </c>
      <c r="C25" s="6" t="str">
        <f t="shared" si="9"/>
        <v/>
      </c>
      <c r="D25" s="6"/>
      <c r="E25" s="6"/>
      <c r="F25" s="6"/>
      <c r="G25" s="6"/>
      <c r="H25" s="6" t="str">
        <f t="shared" si="10"/>
        <v/>
      </c>
      <c r="I25" s="6" t="str">
        <f t="shared" ca="1" si="11"/>
        <v/>
      </c>
      <c r="J25" s="3" t="str">
        <f t="shared" si="12"/>
        <v/>
      </c>
      <c r="K25" s="6" t="str">
        <f>IF(A25="","",VLOOKUP(J25,[1]Initiated!$A:$Y,2,0))</f>
        <v/>
      </c>
      <c r="L25" s="2" t="str">
        <f>IF(A25="","",VLOOKUP(J25,[1]Initiated!$A:$Y,5,FALSE))</f>
        <v/>
      </c>
      <c r="M25" s="6" t="str">
        <f>IF(A25="","",VLOOKUP(J25,[1]Initiated!$A:$Y,6,FALSE))</f>
        <v/>
      </c>
      <c r="N25" s="6" t="str">
        <f>IF(A25="","",VLOOKUP(J25,[1]Initiated!$A:$Y,9,FALSE))</f>
        <v/>
      </c>
      <c r="O25" s="3" t="str">
        <f t="shared" si="13"/>
        <v/>
      </c>
      <c r="P25" s="6" t="str">
        <f>IF(OR(A25="", ISNUMBER(SEARCH("PFr", C25))), "", VLOOKUP(J25, [1]Initiated!$A:$Y, 7, FALSE))</f>
        <v/>
      </c>
      <c r="Q25" s="6" t="str">
        <f>IF(OR(A25="", ISNUMBER(SEARCH("PFr", C25))), "", VLOOKUP(J25, [1]Initiated!$A:$Y, 8, 0))</f>
        <v/>
      </c>
      <c r="R25" s="5" t="str">
        <f t="shared" si="14"/>
        <v/>
      </c>
      <c r="S25" s="4" t="str">
        <f>IF(A25="","",VLOOKUP(J25,[1]Initiated!$A:$Y,3,FALSE))</f>
        <v/>
      </c>
      <c r="T25" s="4" t="str">
        <f t="shared" ca="1" si="15"/>
        <v/>
      </c>
      <c r="U25" s="5" t="str">
        <f t="shared" si="16"/>
        <v/>
      </c>
      <c r="V25" s="5" t="str">
        <f t="shared" si="17"/>
        <v/>
      </c>
      <c r="W25" s="4" t="str">
        <f>IF(A25="","",VLOOKUP(J25,[1]Initiated!$A:$Y,10,0))</f>
        <v/>
      </c>
      <c r="X25" s="5" t="str">
        <f t="shared" si="18"/>
        <v/>
      </c>
      <c r="Y25" s="6"/>
      <c r="Z25" s="6"/>
      <c r="AA25" s="6"/>
      <c r="AB25" s="6"/>
    </row>
    <row r="26" spans="1:28" x14ac:dyDescent="0.25">
      <c r="A26" s="6"/>
      <c r="B26" s="6" t="str">
        <f t="shared" si="8"/>
        <v/>
      </c>
      <c r="C26" s="6" t="str">
        <f t="shared" si="9"/>
        <v/>
      </c>
      <c r="D26" s="6"/>
      <c r="E26" s="6"/>
      <c r="F26" s="6"/>
      <c r="G26" s="6"/>
      <c r="H26" s="6" t="str">
        <f t="shared" si="10"/>
        <v/>
      </c>
      <c r="I26" s="6" t="str">
        <f t="shared" ca="1" si="11"/>
        <v/>
      </c>
      <c r="J26" s="3" t="str">
        <f t="shared" si="12"/>
        <v/>
      </c>
      <c r="K26" s="6" t="str">
        <f>IF(A26="","",VLOOKUP(J26,[1]Initiated!$A:$Y,2,0))</f>
        <v/>
      </c>
      <c r="L26" s="2" t="str">
        <f>IF(A26="","",VLOOKUP(J26,[1]Initiated!$A:$Y,5,FALSE))</f>
        <v/>
      </c>
      <c r="M26" s="6" t="str">
        <f>IF(A26="","",VLOOKUP(J26,[1]Initiated!$A:$Y,6,FALSE))</f>
        <v/>
      </c>
      <c r="N26" s="6" t="str">
        <f>IF(A26="","",VLOOKUP(J26,[1]Initiated!$A:$Y,9,FALSE))</f>
        <v/>
      </c>
      <c r="O26" s="3" t="str">
        <f t="shared" si="13"/>
        <v/>
      </c>
      <c r="P26" s="6" t="str">
        <f>IF(OR(A26="", ISNUMBER(SEARCH("PFr", C26))), "", VLOOKUP(J26, [1]Initiated!$A:$Y, 7, FALSE))</f>
        <v/>
      </c>
      <c r="Q26" s="6" t="str">
        <f>IF(OR(A26="", ISNUMBER(SEARCH("PFr", C26))), "", VLOOKUP(J26, [1]Initiated!$A:$Y, 8, 0))</f>
        <v/>
      </c>
      <c r="R26" s="5" t="str">
        <f t="shared" si="14"/>
        <v/>
      </c>
      <c r="S26" s="4" t="str">
        <f>IF(A26="","",VLOOKUP(J26,[1]Initiated!$A:$Y,3,FALSE))</f>
        <v/>
      </c>
      <c r="T26" s="4" t="str">
        <f t="shared" ca="1" si="15"/>
        <v/>
      </c>
      <c r="U26" s="5" t="str">
        <f t="shared" si="16"/>
        <v/>
      </c>
      <c r="V26" s="5" t="str">
        <f t="shared" si="17"/>
        <v/>
      </c>
      <c r="W26" s="4" t="str">
        <f>IF(A26="","",VLOOKUP(J26,[1]Initiated!$A:$Y,10,0))</f>
        <v/>
      </c>
      <c r="X26" s="5" t="str">
        <f t="shared" si="18"/>
        <v/>
      </c>
      <c r="Y26" s="6"/>
      <c r="Z26" s="6"/>
      <c r="AA26" s="6"/>
      <c r="AB26" s="6"/>
    </row>
    <row r="27" spans="1:28" x14ac:dyDescent="0.25">
      <c r="A27" s="6"/>
      <c r="B27" s="6" t="str">
        <f t="shared" si="8"/>
        <v/>
      </c>
      <c r="C27" s="6" t="str">
        <f t="shared" si="9"/>
        <v/>
      </c>
      <c r="D27" s="6"/>
      <c r="E27" s="6"/>
      <c r="F27" s="6"/>
      <c r="G27" s="6"/>
      <c r="H27" s="6" t="str">
        <f t="shared" si="10"/>
        <v/>
      </c>
      <c r="I27" s="6" t="str">
        <f t="shared" ca="1" si="11"/>
        <v/>
      </c>
      <c r="J27" s="3" t="str">
        <f t="shared" si="12"/>
        <v/>
      </c>
      <c r="K27" s="6" t="str">
        <f>IF(A27="","",VLOOKUP(J27,[1]Initiated!$A:$Y,2,0))</f>
        <v/>
      </c>
      <c r="L27" s="2" t="str">
        <f>IF(A27="","",VLOOKUP(J27,[1]Initiated!$A:$Y,5,FALSE))</f>
        <v/>
      </c>
      <c r="M27" s="6" t="str">
        <f>IF(A27="","",VLOOKUP(J27,[1]Initiated!$A:$Y,6,FALSE))</f>
        <v/>
      </c>
      <c r="N27" s="6" t="str">
        <f>IF(A27="","",VLOOKUP(J27,[1]Initiated!$A:$Y,9,FALSE))</f>
        <v/>
      </c>
      <c r="O27" s="3" t="str">
        <f t="shared" si="13"/>
        <v/>
      </c>
      <c r="P27" s="6" t="str">
        <f>IF(OR(A27="", ISNUMBER(SEARCH("PFr", C27))), "", VLOOKUP(J27, [1]Initiated!$A:$Y, 7, FALSE))</f>
        <v/>
      </c>
      <c r="Q27" s="6" t="str">
        <f>IF(OR(A27="", ISNUMBER(SEARCH("PFr", C27))), "", VLOOKUP(J27, [1]Initiated!$A:$Y, 8, 0))</f>
        <v/>
      </c>
      <c r="R27" s="5" t="str">
        <f t="shared" si="14"/>
        <v/>
      </c>
      <c r="S27" s="4" t="str">
        <f>IF(A27="","",VLOOKUP(J27,[1]Initiated!$A:$Y,3,FALSE))</f>
        <v/>
      </c>
      <c r="T27" s="4" t="str">
        <f t="shared" ca="1" si="15"/>
        <v/>
      </c>
      <c r="U27" s="5" t="str">
        <f t="shared" si="16"/>
        <v/>
      </c>
      <c r="V27" s="5" t="str">
        <f t="shared" si="17"/>
        <v/>
      </c>
      <c r="W27" s="4" t="str">
        <f>IF(A27="","",VLOOKUP(J27,[1]Initiated!$A:$Y,10,0))</f>
        <v/>
      </c>
      <c r="X27" s="5" t="str">
        <f t="shared" si="18"/>
        <v/>
      </c>
      <c r="Y27" s="6"/>
      <c r="Z27" s="6"/>
      <c r="AA27" s="6"/>
      <c r="AB27" s="6"/>
    </row>
    <row r="28" spans="1:28" x14ac:dyDescent="0.25">
      <c r="A28" s="6"/>
      <c r="B28" s="6" t="str">
        <f t="shared" si="8"/>
        <v/>
      </c>
      <c r="C28" s="6" t="str">
        <f t="shared" si="9"/>
        <v/>
      </c>
      <c r="D28" s="6"/>
      <c r="E28" s="6"/>
      <c r="F28" s="6"/>
      <c r="G28" s="6"/>
      <c r="H28" s="6" t="str">
        <f t="shared" si="10"/>
        <v/>
      </c>
      <c r="I28" s="6" t="str">
        <f t="shared" ca="1" si="11"/>
        <v/>
      </c>
      <c r="J28" s="3" t="str">
        <f t="shared" si="12"/>
        <v/>
      </c>
      <c r="K28" s="6" t="str">
        <f>IF(A28="","",VLOOKUP(J28,[1]Initiated!$A:$Y,2,0))</f>
        <v/>
      </c>
      <c r="L28" s="2" t="str">
        <f>IF(A28="","",VLOOKUP(J28,[1]Initiated!$A:$Y,5,FALSE))</f>
        <v/>
      </c>
      <c r="M28" s="6" t="str">
        <f>IF(A28="","",VLOOKUP(J28,[1]Initiated!$A:$Y,6,FALSE))</f>
        <v/>
      </c>
      <c r="N28" s="6" t="str">
        <f>IF(A28="","",VLOOKUP(J28,[1]Initiated!$A:$Y,9,FALSE))</f>
        <v/>
      </c>
      <c r="O28" s="3" t="str">
        <f t="shared" si="13"/>
        <v/>
      </c>
      <c r="P28" s="6" t="str">
        <f>IF(OR(A28="", ISNUMBER(SEARCH("PFr", C28))), "", VLOOKUP(J28, [1]Initiated!$A:$Y, 7, FALSE))</f>
        <v/>
      </c>
      <c r="Q28" s="6" t="str">
        <f>IF(OR(A28="", ISNUMBER(SEARCH("PFr", C28))), "", VLOOKUP(J28, [1]Initiated!$A:$Y, 8, 0))</f>
        <v/>
      </c>
      <c r="R28" s="5" t="str">
        <f t="shared" si="14"/>
        <v/>
      </c>
      <c r="S28" s="4" t="str">
        <f>IF(A28="","",VLOOKUP(J28,[1]Initiated!$A:$Y,3,FALSE))</f>
        <v/>
      </c>
      <c r="T28" s="4" t="str">
        <f t="shared" ca="1" si="15"/>
        <v/>
      </c>
      <c r="U28" s="5" t="str">
        <f t="shared" si="16"/>
        <v/>
      </c>
      <c r="V28" s="5" t="str">
        <f t="shared" si="17"/>
        <v/>
      </c>
      <c r="W28" s="4" t="str">
        <f>IF(A28="","",VLOOKUP(J28,[1]Initiated!$A:$Y,10,0))</f>
        <v/>
      </c>
      <c r="X28" s="5" t="str">
        <f t="shared" si="18"/>
        <v/>
      </c>
      <c r="Y28" s="6"/>
      <c r="Z28" s="6"/>
      <c r="AA28" s="6"/>
      <c r="AB28" s="6"/>
    </row>
    <row r="29" spans="1:28" x14ac:dyDescent="0.25">
      <c r="A29" s="6"/>
      <c r="B29" s="6" t="str">
        <f t="shared" si="8"/>
        <v/>
      </c>
      <c r="C29" s="6" t="str">
        <f t="shared" si="9"/>
        <v/>
      </c>
      <c r="D29" s="6"/>
      <c r="E29" s="6"/>
      <c r="F29" s="6"/>
      <c r="G29" s="6"/>
      <c r="H29" s="6" t="str">
        <f t="shared" si="10"/>
        <v/>
      </c>
      <c r="I29" s="6" t="str">
        <f t="shared" ca="1" si="11"/>
        <v/>
      </c>
      <c r="J29" s="3" t="str">
        <f t="shared" si="12"/>
        <v/>
      </c>
      <c r="K29" s="6" t="str">
        <f>IF(A29="","",VLOOKUP(J29,[1]Initiated!$A:$Y,2,0))</f>
        <v/>
      </c>
      <c r="L29" s="2" t="str">
        <f>IF(A29="","",VLOOKUP(J29,[1]Initiated!$A:$Y,5,FALSE))</f>
        <v/>
      </c>
      <c r="M29" s="6" t="str">
        <f>IF(A29="","",VLOOKUP(J29,[1]Initiated!$A:$Y,6,FALSE))</f>
        <v/>
      </c>
      <c r="N29" s="6" t="str">
        <f>IF(A29="","",VLOOKUP(J29,[1]Initiated!$A:$Y,9,FALSE))</f>
        <v/>
      </c>
      <c r="O29" s="3" t="str">
        <f t="shared" si="13"/>
        <v/>
      </c>
      <c r="P29" s="6" t="str">
        <f>IF(OR(A29="", ISNUMBER(SEARCH("PFr", C29))), "", VLOOKUP(J29, [1]Initiated!$A:$Y, 7, FALSE))</f>
        <v/>
      </c>
      <c r="Q29" s="6" t="str">
        <f>IF(OR(A29="", ISNUMBER(SEARCH("PFr", C29))), "", VLOOKUP(J29, [1]Initiated!$A:$Y, 8, 0))</f>
        <v/>
      </c>
      <c r="R29" s="5" t="str">
        <f t="shared" si="14"/>
        <v/>
      </c>
      <c r="S29" s="4" t="str">
        <f>IF(A29="","",VLOOKUP(J29,[1]Initiated!$A:$Y,3,FALSE))</f>
        <v/>
      </c>
      <c r="T29" s="4" t="str">
        <f t="shared" ca="1" si="15"/>
        <v/>
      </c>
      <c r="U29" s="5" t="str">
        <f t="shared" si="16"/>
        <v/>
      </c>
      <c r="V29" s="5" t="str">
        <f t="shared" si="17"/>
        <v/>
      </c>
      <c r="W29" s="4" t="str">
        <f>IF(A29="","",VLOOKUP(J29,[1]Initiated!$A:$Y,10,0))</f>
        <v/>
      </c>
      <c r="X29" s="5" t="str">
        <f t="shared" si="18"/>
        <v/>
      </c>
      <c r="Y29" s="6"/>
      <c r="Z29" s="6"/>
      <c r="AA29" s="6"/>
      <c r="AB29" s="6"/>
    </row>
    <row r="30" spans="1:28" x14ac:dyDescent="0.25">
      <c r="A30" s="6"/>
      <c r="B30" s="6" t="str">
        <f t="shared" si="8"/>
        <v/>
      </c>
      <c r="C30" s="6" t="str">
        <f t="shared" si="9"/>
        <v/>
      </c>
      <c r="D30" s="6"/>
      <c r="E30" s="6"/>
      <c r="F30" s="6"/>
      <c r="G30" s="6"/>
      <c r="H30" s="6" t="str">
        <f t="shared" si="10"/>
        <v/>
      </c>
      <c r="I30" s="6" t="str">
        <f t="shared" ca="1" si="11"/>
        <v/>
      </c>
      <c r="J30" s="3" t="str">
        <f t="shared" si="12"/>
        <v/>
      </c>
      <c r="K30" s="6" t="str">
        <f>IF(A30="","",VLOOKUP(J30,[1]Initiated!$A:$Y,2,0))</f>
        <v/>
      </c>
      <c r="L30" s="2" t="str">
        <f>IF(A30="","",VLOOKUP(J30,[1]Initiated!$A:$Y,5,FALSE))</f>
        <v/>
      </c>
      <c r="M30" s="6" t="str">
        <f>IF(A30="","",VLOOKUP(J30,[1]Initiated!$A:$Y,6,FALSE))</f>
        <v/>
      </c>
      <c r="N30" s="6" t="str">
        <f>IF(A30="","",VLOOKUP(J30,[1]Initiated!$A:$Y,9,FALSE))</f>
        <v/>
      </c>
      <c r="O30" s="3" t="str">
        <f t="shared" si="13"/>
        <v/>
      </c>
      <c r="P30" s="6" t="str">
        <f>IF(OR(A30="", ISNUMBER(SEARCH("PFr", C30))), "", VLOOKUP(J30, [1]Initiated!$A:$Y, 7, FALSE))</f>
        <v/>
      </c>
      <c r="Q30" s="6" t="str">
        <f>IF(OR(A30="", ISNUMBER(SEARCH("PFr", C30))), "", VLOOKUP(J30, [1]Initiated!$A:$Y, 8, 0))</f>
        <v/>
      </c>
      <c r="R30" s="5" t="str">
        <f t="shared" si="14"/>
        <v/>
      </c>
      <c r="S30" s="4" t="str">
        <f>IF(A30="","",VLOOKUP(J30,[1]Initiated!$A:$Y,3,FALSE))</f>
        <v/>
      </c>
      <c r="T30" s="4" t="str">
        <f t="shared" ca="1" si="15"/>
        <v/>
      </c>
      <c r="U30" s="5" t="str">
        <f t="shared" si="16"/>
        <v/>
      </c>
      <c r="V30" s="5" t="str">
        <f t="shared" si="17"/>
        <v/>
      </c>
      <c r="W30" s="4" t="str">
        <f>IF(A30="","",VLOOKUP(J30,[1]Initiated!$A:$Y,10,0))</f>
        <v/>
      </c>
      <c r="X30" s="5" t="str">
        <f t="shared" si="18"/>
        <v/>
      </c>
      <c r="Y30" s="6"/>
      <c r="Z30" s="6"/>
      <c r="AA30" s="6"/>
      <c r="AB30" s="6"/>
    </row>
    <row r="31" spans="1:28" x14ac:dyDescent="0.25">
      <c r="A31" s="6"/>
      <c r="B31" s="6" t="str">
        <f t="shared" si="8"/>
        <v/>
      </c>
      <c r="C31" s="6" t="str">
        <f t="shared" si="9"/>
        <v/>
      </c>
      <c r="D31" s="6"/>
      <c r="E31" s="6"/>
      <c r="F31" s="6"/>
      <c r="G31" s="6"/>
      <c r="H31" s="6" t="str">
        <f t="shared" si="10"/>
        <v/>
      </c>
      <c r="I31" s="6" t="str">
        <f t="shared" ca="1" si="11"/>
        <v/>
      </c>
      <c r="J31" s="3" t="str">
        <f t="shared" si="12"/>
        <v/>
      </c>
      <c r="K31" s="6" t="str">
        <f>IF(A31="","",VLOOKUP(J31,[1]Initiated!$A:$Y,2,0))</f>
        <v/>
      </c>
      <c r="L31" s="2" t="str">
        <f>IF(A31="","",VLOOKUP(J31,[1]Initiated!$A:$Y,5,FALSE))</f>
        <v/>
      </c>
      <c r="M31" s="6" t="str">
        <f>IF(A31="","",VLOOKUP(J31,[1]Initiated!$A:$Y,6,FALSE))</f>
        <v/>
      </c>
      <c r="N31" s="6" t="str">
        <f>IF(A31="","",VLOOKUP(J31,[1]Initiated!$A:$Y,9,FALSE))</f>
        <v/>
      </c>
      <c r="O31" s="3" t="str">
        <f t="shared" si="13"/>
        <v/>
      </c>
      <c r="P31" s="6" t="str">
        <f>IF(OR(A31="", ISNUMBER(SEARCH("PFr", C31))), "", VLOOKUP(J31, [1]Initiated!$A:$Y, 7, FALSE))</f>
        <v/>
      </c>
      <c r="Q31" s="6" t="str">
        <f>IF(OR(A31="", ISNUMBER(SEARCH("PFr", C31))), "", VLOOKUP(J31, [1]Initiated!$A:$Y, 8, 0))</f>
        <v/>
      </c>
      <c r="R31" s="5" t="str">
        <f t="shared" si="14"/>
        <v/>
      </c>
      <c r="S31" s="4" t="str">
        <f>IF(A31="","",VLOOKUP(J31,[1]Initiated!$A:$Y,3,FALSE))</f>
        <v/>
      </c>
      <c r="T31" s="4" t="str">
        <f t="shared" ca="1" si="15"/>
        <v/>
      </c>
      <c r="U31" s="5" t="str">
        <f t="shared" si="16"/>
        <v/>
      </c>
      <c r="V31" s="5" t="str">
        <f t="shared" si="17"/>
        <v/>
      </c>
      <c r="W31" s="4" t="str">
        <f>IF(A31="","",VLOOKUP(J31,[1]Initiated!$A:$Y,10,0))</f>
        <v/>
      </c>
      <c r="X31" s="5" t="str">
        <f t="shared" si="18"/>
        <v/>
      </c>
      <c r="Y31" s="6"/>
      <c r="Z31" s="6"/>
      <c r="AA31" s="6"/>
      <c r="AB31" s="6"/>
    </row>
    <row r="32" spans="1:28" x14ac:dyDescent="0.25">
      <c r="A32" s="6"/>
      <c r="B32" s="6" t="str">
        <f t="shared" si="8"/>
        <v/>
      </c>
      <c r="C32" s="6" t="str">
        <f t="shared" si="9"/>
        <v/>
      </c>
      <c r="D32" s="6"/>
      <c r="E32" s="6"/>
      <c r="F32" s="6"/>
      <c r="G32" s="6"/>
      <c r="H32" s="6" t="str">
        <f t="shared" si="10"/>
        <v/>
      </c>
      <c r="I32" s="6" t="str">
        <f t="shared" ca="1" si="11"/>
        <v/>
      </c>
      <c r="J32" s="3" t="str">
        <f t="shared" si="12"/>
        <v/>
      </c>
      <c r="K32" s="6" t="str">
        <f>IF(A32="","",VLOOKUP(J32,[1]Initiated!$A:$Y,2,0))</f>
        <v/>
      </c>
      <c r="L32" s="2" t="str">
        <f>IF(A32="","",VLOOKUP(J32,[1]Initiated!$A:$Y,5,FALSE))</f>
        <v/>
      </c>
      <c r="M32" s="6" t="str">
        <f>IF(A32="","",VLOOKUP(J32,[1]Initiated!$A:$Y,6,FALSE))</f>
        <v/>
      </c>
      <c r="N32" s="6" t="str">
        <f>IF(A32="","",VLOOKUP(J32,[1]Initiated!$A:$Y,9,FALSE))</f>
        <v/>
      </c>
      <c r="O32" s="3" t="str">
        <f t="shared" si="13"/>
        <v/>
      </c>
      <c r="P32" s="6" t="str">
        <f>IF(OR(A32="", ISNUMBER(SEARCH("PFr", C32))), "", VLOOKUP(J32, [1]Initiated!$A:$Y, 7, FALSE))</f>
        <v/>
      </c>
      <c r="Q32" s="6" t="str">
        <f>IF(OR(A32="", ISNUMBER(SEARCH("PFr", C32))), "", VLOOKUP(J32, [1]Initiated!$A:$Y, 8, 0))</f>
        <v/>
      </c>
      <c r="R32" s="5" t="str">
        <f t="shared" si="14"/>
        <v/>
      </c>
      <c r="S32" s="4" t="str">
        <f>IF(A32="","",VLOOKUP(J32,[1]Initiated!$A:$Y,3,FALSE))</f>
        <v/>
      </c>
      <c r="T32" s="4" t="str">
        <f t="shared" ca="1" si="15"/>
        <v/>
      </c>
      <c r="U32" s="5" t="str">
        <f t="shared" si="16"/>
        <v/>
      </c>
      <c r="V32" s="5" t="str">
        <f t="shared" si="17"/>
        <v/>
      </c>
      <c r="W32" s="4" t="str">
        <f>IF(A32="","",VLOOKUP(J32,[1]Initiated!$A:$Y,10,0))</f>
        <v/>
      </c>
      <c r="X32" s="5" t="str">
        <f t="shared" si="18"/>
        <v/>
      </c>
      <c r="Y32" s="6"/>
      <c r="Z32" s="6"/>
      <c r="AA32" s="6"/>
      <c r="AB32" s="6"/>
    </row>
    <row r="33" spans="1:28" x14ac:dyDescent="0.25">
      <c r="A33" s="6"/>
      <c r="B33" s="6" t="str">
        <f t="shared" si="8"/>
        <v/>
      </c>
      <c r="C33" s="6" t="str">
        <f t="shared" si="9"/>
        <v/>
      </c>
      <c r="D33" s="6"/>
      <c r="E33" s="6"/>
      <c r="F33" s="6"/>
      <c r="G33" s="6"/>
      <c r="H33" s="6" t="str">
        <f t="shared" si="10"/>
        <v/>
      </c>
      <c r="I33" s="6" t="str">
        <f t="shared" ca="1" si="11"/>
        <v/>
      </c>
      <c r="J33" s="3" t="str">
        <f t="shared" si="12"/>
        <v/>
      </c>
      <c r="K33" s="6" t="str">
        <f>IF(A33="","",VLOOKUP(J33,[1]Initiated!$A:$Y,2,0))</f>
        <v/>
      </c>
      <c r="L33" s="2" t="str">
        <f>IF(A33="","",VLOOKUP(J33,[1]Initiated!$A:$Y,5,FALSE))</f>
        <v/>
      </c>
      <c r="M33" s="6" t="str">
        <f>IF(A33="","",VLOOKUP(J33,[1]Initiated!$A:$Y,6,FALSE))</f>
        <v/>
      </c>
      <c r="N33" s="6" t="str">
        <f>IF(A33="","",VLOOKUP(J33,[1]Initiated!$A:$Y,9,FALSE))</f>
        <v/>
      </c>
      <c r="O33" s="3" t="str">
        <f t="shared" si="13"/>
        <v/>
      </c>
      <c r="P33" s="6" t="str">
        <f>IF(OR(A33="", ISNUMBER(SEARCH("PFr", C33))), "", VLOOKUP(J33, [1]Initiated!$A:$Y, 7, FALSE))</f>
        <v/>
      </c>
      <c r="Q33" s="6" t="str">
        <f>IF(OR(A33="", ISNUMBER(SEARCH("PFr", C33))), "", VLOOKUP(J33, [1]Initiated!$A:$Y, 8, 0))</f>
        <v/>
      </c>
      <c r="R33" s="5" t="str">
        <f t="shared" si="14"/>
        <v/>
      </c>
      <c r="S33" s="4" t="str">
        <f>IF(A33="","",VLOOKUP(J33,[1]Initiated!$A:$Y,3,FALSE))</f>
        <v/>
      </c>
      <c r="T33" s="4" t="str">
        <f t="shared" ca="1" si="15"/>
        <v/>
      </c>
      <c r="U33" s="5" t="str">
        <f t="shared" si="16"/>
        <v/>
      </c>
      <c r="V33" s="5" t="str">
        <f t="shared" si="17"/>
        <v/>
      </c>
      <c r="W33" s="4" t="str">
        <f>IF(A33="","",VLOOKUP(J33,[1]Initiated!$A:$Y,10,0))</f>
        <v/>
      </c>
      <c r="X33" s="5" t="str">
        <f t="shared" si="18"/>
        <v/>
      </c>
      <c r="Y33" s="6"/>
      <c r="Z33" s="6"/>
      <c r="AA33" s="6"/>
      <c r="AB33" s="6"/>
    </row>
    <row r="34" spans="1:28" x14ac:dyDescent="0.25">
      <c r="A34" s="6"/>
      <c r="B34" s="6" t="str">
        <f t="shared" si="8"/>
        <v/>
      </c>
      <c r="C34" s="6" t="str">
        <f t="shared" si="9"/>
        <v/>
      </c>
      <c r="D34" s="6"/>
      <c r="E34" s="6"/>
      <c r="F34" s="6"/>
      <c r="G34" s="6"/>
      <c r="H34" s="6" t="str">
        <f t="shared" si="10"/>
        <v/>
      </c>
      <c r="I34" s="6" t="str">
        <f t="shared" ca="1" si="11"/>
        <v/>
      </c>
      <c r="J34" s="3" t="str">
        <f t="shared" si="12"/>
        <v/>
      </c>
      <c r="K34" s="6" t="str">
        <f>IF(A34="","",VLOOKUP(J34,[1]Initiated!$A:$Y,2,0))</f>
        <v/>
      </c>
      <c r="L34" s="2" t="str">
        <f>IF(A34="","",VLOOKUP(J34,[1]Initiated!$A:$Y,5,FALSE))</f>
        <v/>
      </c>
      <c r="M34" s="6" t="str">
        <f>IF(A34="","",VLOOKUP(J34,[1]Initiated!$A:$Y,6,FALSE))</f>
        <v/>
      </c>
      <c r="N34" s="6" t="str">
        <f>IF(A34="","",VLOOKUP(J34,[1]Initiated!$A:$Y,9,FALSE))</f>
        <v/>
      </c>
      <c r="O34" s="3" t="str">
        <f t="shared" si="13"/>
        <v/>
      </c>
      <c r="P34" s="6" t="str">
        <f>IF(OR(A34="", ISNUMBER(SEARCH("PFr", C34))), "", VLOOKUP(J34, [1]Initiated!$A:$Y, 7, FALSE))</f>
        <v/>
      </c>
      <c r="Q34" s="6" t="str">
        <f>IF(OR(A34="", ISNUMBER(SEARCH("PFr", C34))), "", VLOOKUP(J34, [1]Initiated!$A:$Y, 8, 0))</f>
        <v/>
      </c>
      <c r="R34" s="5" t="str">
        <f t="shared" si="14"/>
        <v/>
      </c>
      <c r="S34" s="4" t="str">
        <f>IF(A34="","",VLOOKUP(J34,[1]Initiated!$A:$Y,3,FALSE))</f>
        <v/>
      </c>
      <c r="T34" s="4" t="str">
        <f t="shared" ca="1" si="15"/>
        <v/>
      </c>
      <c r="U34" s="5" t="str">
        <f t="shared" si="16"/>
        <v/>
      </c>
      <c r="V34" s="5" t="str">
        <f t="shared" si="17"/>
        <v/>
      </c>
      <c r="W34" s="4" t="str">
        <f>IF(A34="","",VLOOKUP(J34,[1]Initiated!$A:$Y,10,0))</f>
        <v/>
      </c>
      <c r="X34" s="5" t="str">
        <f t="shared" si="18"/>
        <v/>
      </c>
      <c r="Y34" s="6"/>
      <c r="Z34" s="6"/>
      <c r="AA34" s="6"/>
      <c r="AB34" s="6"/>
    </row>
    <row r="35" spans="1:28" x14ac:dyDescent="0.25">
      <c r="A35" s="6"/>
      <c r="B35" s="6" t="str">
        <f t="shared" si="8"/>
        <v/>
      </c>
      <c r="C35" s="6" t="str">
        <f t="shared" si="9"/>
        <v/>
      </c>
      <c r="D35" s="6"/>
      <c r="E35" s="6"/>
      <c r="F35" s="6"/>
      <c r="G35" s="6"/>
      <c r="H35" s="6" t="str">
        <f t="shared" si="10"/>
        <v/>
      </c>
      <c r="I35" s="6" t="str">
        <f t="shared" ca="1" si="11"/>
        <v/>
      </c>
      <c r="J35" s="3" t="str">
        <f t="shared" si="12"/>
        <v/>
      </c>
      <c r="K35" s="6" t="str">
        <f>IF(A35="","",VLOOKUP(J35,[1]Initiated!$A:$Y,2,0))</f>
        <v/>
      </c>
      <c r="L35" s="2" t="str">
        <f>IF(A35="","",VLOOKUP(J35,[1]Initiated!$A:$Y,5,FALSE))</f>
        <v/>
      </c>
      <c r="M35" s="6" t="str">
        <f>IF(A35="","",VLOOKUP(J35,[1]Initiated!$A:$Y,6,FALSE))</f>
        <v/>
      </c>
      <c r="N35" s="6" t="str">
        <f>IF(A35="","",VLOOKUP(J35,[1]Initiated!$A:$Y,9,FALSE))</f>
        <v/>
      </c>
      <c r="O35" s="3" t="str">
        <f t="shared" si="13"/>
        <v/>
      </c>
      <c r="P35" s="6" t="str">
        <f>IF(OR(A35="", ISNUMBER(SEARCH("PFr", C35))), "", VLOOKUP(J35, [1]Initiated!$A:$Y, 7, FALSE))</f>
        <v/>
      </c>
      <c r="Q35" s="6" t="str">
        <f>IF(OR(A35="", ISNUMBER(SEARCH("PFr", C35))), "", VLOOKUP(J35, [1]Initiated!$A:$Y, 8, 0))</f>
        <v/>
      </c>
      <c r="R35" s="5" t="str">
        <f t="shared" si="14"/>
        <v/>
      </c>
      <c r="S35" s="4" t="str">
        <f>IF(A35="","",VLOOKUP(J35,[1]Initiated!$A:$Y,3,FALSE))</f>
        <v/>
      </c>
      <c r="T35" s="4" t="str">
        <f t="shared" ca="1" si="15"/>
        <v/>
      </c>
      <c r="U35" s="5" t="str">
        <f t="shared" si="16"/>
        <v/>
      </c>
      <c r="V35" s="5" t="str">
        <f t="shared" si="17"/>
        <v/>
      </c>
      <c r="W35" s="4" t="str">
        <f>IF(A35="","",VLOOKUP(J35,[1]Initiated!$A:$Y,10,0))</f>
        <v/>
      </c>
      <c r="X35" s="5" t="str">
        <f t="shared" si="18"/>
        <v/>
      </c>
      <c r="Y35" s="6"/>
      <c r="Z35" s="6"/>
      <c r="AA35" s="6"/>
      <c r="AB35" s="6"/>
    </row>
    <row r="36" spans="1:28" x14ac:dyDescent="0.25">
      <c r="A36" s="6"/>
      <c r="B36" s="6" t="str">
        <f t="shared" si="8"/>
        <v/>
      </c>
      <c r="C36" s="6" t="str">
        <f t="shared" si="9"/>
        <v/>
      </c>
      <c r="D36" s="6"/>
      <c r="E36" s="6"/>
      <c r="F36" s="6"/>
      <c r="G36" s="6"/>
      <c r="H36" s="6" t="str">
        <f t="shared" si="10"/>
        <v/>
      </c>
      <c r="I36" s="6" t="str">
        <f t="shared" ca="1" si="11"/>
        <v/>
      </c>
      <c r="J36" s="3" t="str">
        <f t="shared" si="12"/>
        <v/>
      </c>
      <c r="K36" s="6" t="str">
        <f>IF(A36="","",VLOOKUP(J36,[1]Initiated!$A:$Y,2,0))</f>
        <v/>
      </c>
      <c r="L36" s="2" t="str">
        <f>IF(A36="","",VLOOKUP(J36,[1]Initiated!$A:$Y,5,FALSE))</f>
        <v/>
      </c>
      <c r="M36" s="6" t="str">
        <f>IF(A36="","",VLOOKUP(J36,[1]Initiated!$A:$Y,6,FALSE))</f>
        <v/>
      </c>
      <c r="N36" s="6" t="str">
        <f>IF(A36="","",VLOOKUP(J36,[1]Initiated!$A:$Y,9,FALSE))</f>
        <v/>
      </c>
      <c r="O36" s="3" t="str">
        <f t="shared" si="13"/>
        <v/>
      </c>
      <c r="P36" s="6" t="str">
        <f>IF(OR(A36="", ISNUMBER(SEARCH("PFr", C36))), "", VLOOKUP(J36, [1]Initiated!$A:$Y, 7, FALSE))</f>
        <v/>
      </c>
      <c r="Q36" s="6" t="str">
        <f>IF(OR(A36="", ISNUMBER(SEARCH("PFr", C36))), "", VLOOKUP(J36, [1]Initiated!$A:$Y, 8, 0))</f>
        <v/>
      </c>
      <c r="R36" s="5" t="str">
        <f t="shared" si="14"/>
        <v/>
      </c>
      <c r="S36" s="4" t="str">
        <f>IF(A36="","",VLOOKUP(J36,[1]Initiated!$A:$Y,3,FALSE))</f>
        <v/>
      </c>
      <c r="T36" s="4" t="str">
        <f t="shared" ca="1" si="15"/>
        <v/>
      </c>
      <c r="U36" s="5" t="str">
        <f t="shared" si="16"/>
        <v/>
      </c>
      <c r="V36" s="5" t="str">
        <f t="shared" si="17"/>
        <v/>
      </c>
      <c r="W36" s="4" t="str">
        <f>IF(A36="","",VLOOKUP(J36,[1]Initiated!$A:$Y,10,0))</f>
        <v/>
      </c>
      <c r="X36" s="5" t="str">
        <f t="shared" si="18"/>
        <v/>
      </c>
      <c r="Y36" s="6"/>
      <c r="Z36" s="6"/>
      <c r="AA36" s="6"/>
      <c r="AB36" s="6"/>
    </row>
    <row r="37" spans="1:28" x14ac:dyDescent="0.25">
      <c r="A37" s="6"/>
      <c r="B37" s="6" t="str">
        <f t="shared" si="8"/>
        <v/>
      </c>
      <c r="C37" s="6" t="str">
        <f t="shared" si="9"/>
        <v/>
      </c>
      <c r="D37" s="6"/>
      <c r="E37" s="6"/>
      <c r="F37" s="6"/>
      <c r="G37" s="6"/>
      <c r="H37" s="6" t="str">
        <f t="shared" si="10"/>
        <v/>
      </c>
      <c r="I37" s="6" t="str">
        <f t="shared" ca="1" si="11"/>
        <v/>
      </c>
      <c r="J37" s="3" t="str">
        <f t="shared" si="12"/>
        <v/>
      </c>
      <c r="K37" s="6" t="str">
        <f>IF(A37="","",VLOOKUP(J37,[1]Initiated!$A:$Y,2,0))</f>
        <v/>
      </c>
      <c r="L37" s="2" t="str">
        <f>IF(A37="","",VLOOKUP(J37,[1]Initiated!$A:$Y,5,FALSE))</f>
        <v/>
      </c>
      <c r="M37" s="6" t="str">
        <f>IF(A37="","",VLOOKUP(J37,[1]Initiated!$A:$Y,6,FALSE))</f>
        <v/>
      </c>
      <c r="N37" s="6" t="str">
        <f>IF(A37="","",VLOOKUP(J37,[1]Initiated!$A:$Y,9,FALSE))</f>
        <v/>
      </c>
      <c r="O37" s="3" t="str">
        <f t="shared" si="13"/>
        <v/>
      </c>
      <c r="P37" s="6" t="str">
        <f>IF(OR(A37="", ISNUMBER(SEARCH("PFr", C37))), "", VLOOKUP(J37, [1]Initiated!$A:$Y, 7, FALSE))</f>
        <v/>
      </c>
      <c r="Q37" s="6" t="str">
        <f>IF(OR(A37="", ISNUMBER(SEARCH("PFr", C37))), "", VLOOKUP(J37, [1]Initiated!$A:$Y, 8, 0))</f>
        <v/>
      </c>
      <c r="R37" s="5" t="str">
        <f t="shared" si="14"/>
        <v/>
      </c>
      <c r="S37" s="4" t="str">
        <f>IF(A37="","",VLOOKUP(J37,[1]Initiated!$A:$Y,3,FALSE))</f>
        <v/>
      </c>
      <c r="T37" s="4" t="str">
        <f t="shared" ca="1" si="15"/>
        <v/>
      </c>
      <c r="U37" s="5" t="str">
        <f t="shared" si="16"/>
        <v/>
      </c>
      <c r="V37" s="5" t="str">
        <f t="shared" si="17"/>
        <v/>
      </c>
      <c r="W37" s="4" t="str">
        <f>IF(A37="","",VLOOKUP(J37,[1]Initiated!$A:$Y,10,0))</f>
        <v/>
      </c>
      <c r="X37" s="5" t="str">
        <f t="shared" si="18"/>
        <v/>
      </c>
      <c r="Y37" s="6"/>
      <c r="Z37" s="6"/>
      <c r="AA37" s="6"/>
      <c r="AB37" s="6"/>
    </row>
    <row r="38" spans="1:28" x14ac:dyDescent="0.25">
      <c r="A38" s="6"/>
      <c r="B38" s="6" t="str">
        <f t="shared" si="8"/>
        <v/>
      </c>
      <c r="C38" s="6" t="str">
        <f t="shared" si="9"/>
        <v/>
      </c>
      <c r="D38" s="6"/>
      <c r="E38" s="6"/>
      <c r="F38" s="6"/>
      <c r="G38" s="6"/>
      <c r="H38" s="6" t="str">
        <f t="shared" si="10"/>
        <v/>
      </c>
      <c r="I38" s="6" t="str">
        <f t="shared" ca="1" si="11"/>
        <v/>
      </c>
      <c r="J38" s="3" t="str">
        <f t="shared" si="12"/>
        <v/>
      </c>
      <c r="K38" s="6" t="str">
        <f>IF(A38="","",VLOOKUP(J38,[1]Initiated!$A:$Y,2,0))</f>
        <v/>
      </c>
      <c r="L38" s="2" t="str">
        <f>IF(A38="","",VLOOKUP(J38,[1]Initiated!$A:$Y,5,FALSE))</f>
        <v/>
      </c>
      <c r="M38" s="6" t="str">
        <f>IF(A38="","",VLOOKUP(J38,[1]Initiated!$A:$Y,6,FALSE))</f>
        <v/>
      </c>
      <c r="N38" s="6" t="str">
        <f>IF(A38="","",VLOOKUP(J38,[1]Initiated!$A:$Y,9,FALSE))</f>
        <v/>
      </c>
      <c r="O38" s="3" t="str">
        <f t="shared" si="13"/>
        <v/>
      </c>
      <c r="P38" s="6" t="str">
        <f>IF(OR(A38="", ISNUMBER(SEARCH("PFr", C38))), "", VLOOKUP(J38, [1]Initiated!$A:$Y, 7, FALSE))</f>
        <v/>
      </c>
      <c r="Q38" s="6" t="str">
        <f>IF(OR(A38="", ISNUMBER(SEARCH("PFr", C38))), "", VLOOKUP(J38, [1]Initiated!$A:$Y, 8, 0))</f>
        <v/>
      </c>
      <c r="R38" s="5" t="str">
        <f t="shared" si="14"/>
        <v/>
      </c>
      <c r="S38" s="4" t="str">
        <f>IF(A38="","",VLOOKUP(J38,[1]Initiated!$A:$Y,3,FALSE))</f>
        <v/>
      </c>
      <c r="T38" s="4" t="str">
        <f t="shared" ca="1" si="15"/>
        <v/>
      </c>
      <c r="U38" s="5" t="str">
        <f t="shared" si="16"/>
        <v/>
      </c>
      <c r="V38" s="5" t="str">
        <f t="shared" si="17"/>
        <v/>
      </c>
      <c r="W38" s="4" t="str">
        <f>IF(A38="","",VLOOKUP(J38,[1]Initiated!$A:$Y,10,0))</f>
        <v/>
      </c>
      <c r="X38" s="5" t="str">
        <f t="shared" si="18"/>
        <v/>
      </c>
      <c r="Y38" s="6"/>
      <c r="Z38" s="6"/>
      <c r="AA38" s="6"/>
      <c r="AB38" s="6"/>
    </row>
    <row r="39" spans="1:28" x14ac:dyDescent="0.25">
      <c r="A39" s="6"/>
      <c r="B39" s="6" t="str">
        <f t="shared" si="8"/>
        <v/>
      </c>
      <c r="C39" s="6" t="str">
        <f t="shared" si="9"/>
        <v/>
      </c>
      <c r="D39" s="6"/>
      <c r="E39" s="6"/>
      <c r="F39" s="6"/>
      <c r="G39" s="6"/>
      <c r="H39" s="6" t="str">
        <f t="shared" si="10"/>
        <v/>
      </c>
      <c r="I39" s="6" t="str">
        <f t="shared" ca="1" si="11"/>
        <v/>
      </c>
      <c r="J39" s="3" t="str">
        <f t="shared" si="12"/>
        <v/>
      </c>
      <c r="K39" s="6" t="str">
        <f>IF(A39="","",VLOOKUP(J39,[1]Initiated!$A:$Y,2,0))</f>
        <v/>
      </c>
      <c r="L39" s="2" t="str">
        <f>IF(A39="","",VLOOKUP(J39,[1]Initiated!$A:$Y,5,FALSE))</f>
        <v/>
      </c>
      <c r="M39" s="6" t="str">
        <f>IF(A39="","",VLOOKUP(J39,[1]Initiated!$A:$Y,6,FALSE))</f>
        <v/>
      </c>
      <c r="N39" s="6" t="str">
        <f>IF(A39="","",VLOOKUP(J39,[1]Initiated!$A:$Y,9,FALSE))</f>
        <v/>
      </c>
      <c r="O39" s="3" t="str">
        <f t="shared" si="13"/>
        <v/>
      </c>
      <c r="P39" s="6" t="str">
        <f>IF(OR(A39="", ISNUMBER(SEARCH("PFr", C39))), "", VLOOKUP(J39, [1]Initiated!$A:$Y, 7, FALSE))</f>
        <v/>
      </c>
      <c r="Q39" s="6" t="str">
        <f>IF(OR(A39="", ISNUMBER(SEARCH("PFr", C39))), "", VLOOKUP(J39, [1]Initiated!$A:$Y, 8, 0))</f>
        <v/>
      </c>
      <c r="R39" s="5" t="str">
        <f t="shared" si="14"/>
        <v/>
      </c>
      <c r="S39" s="4" t="str">
        <f>IF(A39="","",VLOOKUP(J39,[1]Initiated!$A:$Y,3,FALSE))</f>
        <v/>
      </c>
      <c r="T39" s="4" t="str">
        <f t="shared" ca="1" si="15"/>
        <v/>
      </c>
      <c r="U39" s="5" t="str">
        <f t="shared" si="16"/>
        <v/>
      </c>
      <c r="V39" s="5" t="str">
        <f t="shared" si="17"/>
        <v/>
      </c>
      <c r="W39" s="4" t="str">
        <f>IF(A39="","",VLOOKUP(J39,[1]Initiated!$A:$Y,10,0))</f>
        <v/>
      </c>
      <c r="X39" s="5" t="str">
        <f t="shared" si="18"/>
        <v/>
      </c>
      <c r="Y39" s="6"/>
      <c r="Z39" s="6"/>
      <c r="AA39" s="6"/>
      <c r="AB39" s="6"/>
    </row>
    <row r="40" spans="1:28" x14ac:dyDescent="0.25">
      <c r="A40" s="6"/>
      <c r="B40" s="6" t="str">
        <f t="shared" si="8"/>
        <v/>
      </c>
      <c r="C40" s="6" t="str">
        <f t="shared" si="9"/>
        <v/>
      </c>
      <c r="D40" s="6"/>
      <c r="E40" s="6"/>
      <c r="F40" s="6"/>
      <c r="G40" s="6"/>
      <c r="H40" s="6" t="str">
        <f t="shared" si="10"/>
        <v/>
      </c>
      <c r="I40" s="6" t="str">
        <f t="shared" ca="1" si="11"/>
        <v/>
      </c>
      <c r="J40" s="3" t="str">
        <f t="shared" si="12"/>
        <v/>
      </c>
      <c r="K40" s="6" t="str">
        <f>IF(A40="","",VLOOKUP(J40,[1]Initiated!$A:$Y,2,0))</f>
        <v/>
      </c>
      <c r="L40" s="2" t="str">
        <f>IF(A40="","",VLOOKUP(J40,[1]Initiated!$A:$Y,5,FALSE))</f>
        <v/>
      </c>
      <c r="M40" s="6" t="str">
        <f>IF(A40="","",VLOOKUP(J40,[1]Initiated!$A:$Y,6,FALSE))</f>
        <v/>
      </c>
      <c r="N40" s="6" t="str">
        <f>IF(A40="","",VLOOKUP(J40,[1]Initiated!$A:$Y,9,FALSE))</f>
        <v/>
      </c>
      <c r="O40" s="3" t="str">
        <f t="shared" si="13"/>
        <v/>
      </c>
      <c r="P40" s="6" t="str">
        <f>IF(OR(A40="", ISNUMBER(SEARCH("PFr", C40))), "", VLOOKUP(J40, [1]Initiated!$A:$Y, 7, FALSE))</f>
        <v/>
      </c>
      <c r="Q40" s="6" t="str">
        <f>IF(OR(A40="", ISNUMBER(SEARCH("PFr", C40))), "", VLOOKUP(J40, [1]Initiated!$A:$Y, 8, 0))</f>
        <v/>
      </c>
      <c r="R40" s="5" t="str">
        <f t="shared" si="14"/>
        <v/>
      </c>
      <c r="S40" s="4" t="str">
        <f>IF(A40="","",VLOOKUP(J40,[1]Initiated!$A:$Y,3,FALSE))</f>
        <v/>
      </c>
      <c r="T40" s="4" t="str">
        <f t="shared" ca="1" si="15"/>
        <v/>
      </c>
      <c r="U40" s="5" t="str">
        <f t="shared" si="16"/>
        <v/>
      </c>
      <c r="V40" s="5" t="str">
        <f t="shared" si="17"/>
        <v/>
      </c>
      <c r="W40" s="4" t="str">
        <f>IF(A40="","",VLOOKUP(J40,[1]Initiated!$A:$Y,10,0))</f>
        <v/>
      </c>
      <c r="X40" s="5" t="str">
        <f t="shared" si="18"/>
        <v/>
      </c>
      <c r="Y40" s="6"/>
      <c r="Z40" s="6"/>
      <c r="AA40" s="6"/>
      <c r="AB40" s="6"/>
    </row>
    <row r="41" spans="1:28" x14ac:dyDescent="0.25">
      <c r="A41" s="6"/>
      <c r="B41" s="6" t="str">
        <f t="shared" si="8"/>
        <v/>
      </c>
      <c r="C41" s="6" t="str">
        <f t="shared" si="9"/>
        <v/>
      </c>
      <c r="D41" s="6"/>
      <c r="E41" s="6"/>
      <c r="F41" s="6"/>
      <c r="G41" s="6"/>
      <c r="H41" s="6" t="str">
        <f t="shared" si="10"/>
        <v/>
      </c>
      <c r="I41" s="6" t="str">
        <f t="shared" ca="1" si="11"/>
        <v/>
      </c>
      <c r="J41" s="3" t="str">
        <f t="shared" si="12"/>
        <v/>
      </c>
      <c r="K41" s="6" t="str">
        <f>IF(A41="","",VLOOKUP(J41,[1]Initiated!$A:$Y,2,0))</f>
        <v/>
      </c>
      <c r="L41" s="2" t="str">
        <f>IF(A41="","",VLOOKUP(J41,[1]Initiated!$A:$Y,5,FALSE))</f>
        <v/>
      </c>
      <c r="M41" s="6" t="str">
        <f>IF(A41="","",VLOOKUP(J41,[1]Initiated!$A:$Y,6,FALSE))</f>
        <v/>
      </c>
      <c r="N41" s="6" t="str">
        <f>IF(A41="","",VLOOKUP(J41,[1]Initiated!$A:$Y,9,FALSE))</f>
        <v/>
      </c>
      <c r="O41" s="3" t="str">
        <f t="shared" si="13"/>
        <v/>
      </c>
      <c r="P41" s="6" t="str">
        <f>IF(OR(A41="", ISNUMBER(SEARCH("PFr", C41))), "", VLOOKUP(J41, [1]Initiated!$A:$Y, 7, FALSE))</f>
        <v/>
      </c>
      <c r="Q41" s="6" t="str">
        <f>IF(OR(A41="", ISNUMBER(SEARCH("PFr", C41))), "", VLOOKUP(J41, [1]Initiated!$A:$Y, 8, 0))</f>
        <v/>
      </c>
      <c r="R41" s="5" t="str">
        <f t="shared" si="14"/>
        <v/>
      </c>
      <c r="S41" s="4" t="str">
        <f>IF(A41="","",VLOOKUP(J41,[1]Initiated!$A:$Y,3,FALSE))</f>
        <v/>
      </c>
      <c r="T41" s="4" t="str">
        <f t="shared" ca="1" si="15"/>
        <v/>
      </c>
      <c r="U41" s="5" t="str">
        <f t="shared" si="16"/>
        <v/>
      </c>
      <c r="V41" s="5" t="str">
        <f t="shared" si="17"/>
        <v/>
      </c>
      <c r="W41" s="4" t="str">
        <f>IF(A41="","",VLOOKUP(J41,[1]Initiated!$A:$Y,10,0))</f>
        <v/>
      </c>
      <c r="X41" s="5" t="str">
        <f t="shared" si="18"/>
        <v/>
      </c>
      <c r="Y41" s="6"/>
      <c r="Z41" s="6"/>
      <c r="AA41" s="6"/>
      <c r="AB41" s="6"/>
    </row>
    <row r="42" spans="1:28" x14ac:dyDescent="0.25">
      <c r="A42" s="6"/>
      <c r="B42" s="6" t="str">
        <f t="shared" si="8"/>
        <v/>
      </c>
      <c r="C42" s="6" t="str">
        <f t="shared" si="9"/>
        <v/>
      </c>
      <c r="D42" s="6"/>
      <c r="E42" s="6"/>
      <c r="F42" s="6"/>
      <c r="G42" s="6"/>
      <c r="H42" s="6" t="str">
        <f t="shared" si="10"/>
        <v/>
      </c>
      <c r="I42" s="6" t="str">
        <f t="shared" ca="1" si="11"/>
        <v/>
      </c>
      <c r="J42" s="3" t="str">
        <f t="shared" si="12"/>
        <v/>
      </c>
      <c r="K42" s="6" t="str">
        <f>IF(A42="","",VLOOKUP(J42,[1]Initiated!$A:$Y,2,0))</f>
        <v/>
      </c>
      <c r="L42" s="2" t="str">
        <f>IF(A42="","",VLOOKUP(J42,[1]Initiated!$A:$Y,5,FALSE))</f>
        <v/>
      </c>
      <c r="M42" s="6" t="str">
        <f>IF(A42="","",VLOOKUP(J42,[1]Initiated!$A:$Y,6,FALSE))</f>
        <v/>
      </c>
      <c r="N42" s="6" t="str">
        <f>IF(A42="","",VLOOKUP(J42,[1]Initiated!$A:$Y,9,FALSE))</f>
        <v/>
      </c>
      <c r="O42" s="3" t="str">
        <f t="shared" si="13"/>
        <v/>
      </c>
      <c r="P42" s="6" t="str">
        <f>IF(OR(A42="", ISNUMBER(SEARCH("PFr", C42))), "", VLOOKUP(J42, [1]Initiated!$A:$Y, 7, FALSE))</f>
        <v/>
      </c>
      <c r="Q42" s="6" t="str">
        <f>IF(OR(A42="", ISNUMBER(SEARCH("PFr", C42))), "", VLOOKUP(J42, [1]Initiated!$A:$Y, 8, 0))</f>
        <v/>
      </c>
      <c r="R42" s="5" t="str">
        <f t="shared" si="14"/>
        <v/>
      </c>
      <c r="S42" s="4" t="str">
        <f>IF(A42="","",VLOOKUP(J42,[1]Initiated!$A:$Y,3,FALSE))</f>
        <v/>
      </c>
      <c r="T42" s="4" t="str">
        <f t="shared" ca="1" si="15"/>
        <v/>
      </c>
      <c r="U42" s="5" t="str">
        <f t="shared" si="16"/>
        <v/>
      </c>
      <c r="V42" s="5" t="str">
        <f t="shared" si="17"/>
        <v/>
      </c>
      <c r="W42" s="4" t="str">
        <f>IF(A42="","",VLOOKUP(J42,[1]Initiated!$A:$Y,10,0))</f>
        <v/>
      </c>
      <c r="X42" s="5" t="str">
        <f t="shared" si="18"/>
        <v/>
      </c>
    </row>
    <row r="43" spans="1:28" x14ac:dyDescent="0.25">
      <c r="A43" s="6"/>
      <c r="B43" s="6" t="str">
        <f t="shared" si="8"/>
        <v/>
      </c>
      <c r="C43" s="6" t="str">
        <f t="shared" si="9"/>
        <v/>
      </c>
      <c r="D43" s="6"/>
      <c r="E43" s="6"/>
      <c r="F43" s="6"/>
      <c r="G43" s="6"/>
      <c r="H43" s="6" t="str">
        <f t="shared" si="10"/>
        <v/>
      </c>
      <c r="I43" s="6" t="str">
        <f t="shared" ca="1" si="11"/>
        <v/>
      </c>
      <c r="J43" s="3" t="str">
        <f t="shared" si="12"/>
        <v/>
      </c>
      <c r="K43" s="6" t="str">
        <f>IF(A43="","",VLOOKUP(J43,[1]Initiated!$A:$Y,2,0))</f>
        <v/>
      </c>
      <c r="L43" s="2" t="str">
        <f>IF(A43="","",VLOOKUP(J43,[1]Initiated!$A:$Y,5,FALSE))</f>
        <v/>
      </c>
      <c r="M43" s="6" t="str">
        <f>IF(A43="","",VLOOKUP(J43,[1]Initiated!$A:$Y,6,FALSE))</f>
        <v/>
      </c>
      <c r="N43" s="6" t="str">
        <f>IF(A43="","",VLOOKUP(J43,[1]Initiated!$A:$Y,9,FALSE))</f>
        <v/>
      </c>
      <c r="O43" s="3" t="str">
        <f t="shared" si="13"/>
        <v/>
      </c>
      <c r="P43" s="6" t="str">
        <f>IF(OR(A43="", ISNUMBER(SEARCH("PFr", C43))), "", VLOOKUP(J43, [1]Initiated!$A:$Y, 7, FALSE))</f>
        <v/>
      </c>
      <c r="Q43" s="6" t="str">
        <f>IF(OR(A43="", ISNUMBER(SEARCH("PFr", C43))), "", VLOOKUP(J43, [1]Initiated!$A:$Y, 8, 0))</f>
        <v/>
      </c>
      <c r="R43" s="5" t="str">
        <f t="shared" si="14"/>
        <v/>
      </c>
      <c r="S43" s="4" t="str">
        <f>IF(A43="","",VLOOKUP(J43,[1]Initiated!$A:$Y,3,FALSE))</f>
        <v/>
      </c>
      <c r="T43" s="4" t="str">
        <f t="shared" ca="1" si="15"/>
        <v/>
      </c>
      <c r="U43" s="5" t="str">
        <f t="shared" si="16"/>
        <v/>
      </c>
      <c r="V43" s="5" t="str">
        <f t="shared" si="17"/>
        <v/>
      </c>
      <c r="W43" s="4" t="str">
        <f>IF(A43="","",VLOOKUP(J43,[1]Initiated!$A:$Y,10,0))</f>
        <v/>
      </c>
      <c r="X43" s="5" t="str">
        <f t="shared" si="18"/>
        <v/>
      </c>
    </row>
    <row r="44" spans="1:28" x14ac:dyDescent="0.25">
      <c r="A44" s="6"/>
      <c r="B44" s="6" t="str">
        <f t="shared" si="8"/>
        <v/>
      </c>
      <c r="C44" s="6" t="str">
        <f t="shared" si="9"/>
        <v/>
      </c>
      <c r="D44" s="6"/>
      <c r="E44" s="6"/>
      <c r="F44" s="6"/>
      <c r="G44" s="6"/>
      <c r="H44" s="6" t="str">
        <f t="shared" si="10"/>
        <v/>
      </c>
      <c r="I44" s="6" t="str">
        <f t="shared" ca="1" si="11"/>
        <v/>
      </c>
      <c r="J44" s="3" t="str">
        <f t="shared" si="12"/>
        <v/>
      </c>
      <c r="K44" s="6" t="str">
        <f>IF(A44="","",VLOOKUP(J44,[1]Initiated!$A:$Y,2,0))</f>
        <v/>
      </c>
      <c r="L44" s="2" t="str">
        <f>IF(A44="","",VLOOKUP(J44,[1]Initiated!$A:$Y,5,FALSE))</f>
        <v/>
      </c>
      <c r="M44" s="6" t="str">
        <f>IF(A44="","",VLOOKUP(J44,[1]Initiated!$A:$Y,6,FALSE))</f>
        <v/>
      </c>
      <c r="N44" s="6" t="str">
        <f>IF(A44="","",VLOOKUP(J44,[1]Initiated!$A:$Y,9,FALSE))</f>
        <v/>
      </c>
      <c r="O44" s="3" t="str">
        <f t="shared" si="13"/>
        <v/>
      </c>
      <c r="P44" s="6" t="str">
        <f>IF(OR(A44="", ISNUMBER(SEARCH("PFr", C44))), "", VLOOKUP(J44, [1]Initiated!$A:$Y, 7, FALSE))</f>
        <v/>
      </c>
      <c r="Q44" s="6" t="str">
        <f>IF(OR(A44="", ISNUMBER(SEARCH("PFr", C44))), "", VLOOKUP(J44, [1]Initiated!$A:$Y, 8, 0))</f>
        <v/>
      </c>
      <c r="R44" s="5" t="str">
        <f t="shared" si="14"/>
        <v/>
      </c>
      <c r="S44" s="4" t="str">
        <f>IF(A44="","",VLOOKUP(J44,[1]Initiated!$A:$Y,3,FALSE))</f>
        <v/>
      </c>
      <c r="T44" s="4" t="str">
        <f t="shared" ca="1" si="15"/>
        <v/>
      </c>
      <c r="U44" s="5" t="str">
        <f t="shared" si="16"/>
        <v/>
      </c>
      <c r="V44" s="5" t="str">
        <f t="shared" si="17"/>
        <v/>
      </c>
      <c r="W44" s="4" t="str">
        <f>IF(A44="","",VLOOKUP(J44,[1]Initiated!$A:$Y,10,0))</f>
        <v/>
      </c>
      <c r="X44" s="5" t="str">
        <f t="shared" si="18"/>
        <v/>
      </c>
    </row>
    <row r="45" spans="1:28" x14ac:dyDescent="0.25">
      <c r="A45" s="6"/>
      <c r="B45" s="6" t="str">
        <f t="shared" si="8"/>
        <v/>
      </c>
      <c r="C45" s="6" t="str">
        <f t="shared" si="9"/>
        <v/>
      </c>
      <c r="D45" s="6"/>
      <c r="E45" s="6"/>
      <c r="F45" s="6"/>
      <c r="G45" s="6"/>
      <c r="H45" s="6" t="str">
        <f t="shared" si="10"/>
        <v/>
      </c>
      <c r="I45" s="6" t="str">
        <f t="shared" ca="1" si="11"/>
        <v/>
      </c>
      <c r="J45" s="3" t="str">
        <f t="shared" si="12"/>
        <v/>
      </c>
      <c r="K45" s="6" t="str">
        <f>IF(A45="","",VLOOKUP(J45,[1]Initiated!$A:$Y,2,0))</f>
        <v/>
      </c>
      <c r="L45" s="2" t="str">
        <f>IF(A45="","",VLOOKUP(J45,[1]Initiated!$A:$Y,5,FALSE))</f>
        <v/>
      </c>
      <c r="M45" s="6" t="str">
        <f>IF(A45="","",VLOOKUP(J45,[1]Initiated!$A:$Y,6,FALSE))</f>
        <v/>
      </c>
      <c r="N45" s="6" t="str">
        <f>IF(A45="","",VLOOKUP(J45,[1]Initiated!$A:$Y,9,FALSE))</f>
        <v/>
      </c>
      <c r="O45" s="3" t="str">
        <f t="shared" si="13"/>
        <v/>
      </c>
      <c r="P45" s="6" t="str">
        <f>IF(OR(A45="", ISNUMBER(SEARCH("PFr", C45))), "", VLOOKUP(J45, [1]Initiated!$A:$Y, 7, FALSE))</f>
        <v/>
      </c>
      <c r="Q45" s="6" t="str">
        <f>IF(OR(A45="", ISNUMBER(SEARCH("PFr", C45))), "", VLOOKUP(J45, [1]Initiated!$A:$Y, 8, 0))</f>
        <v/>
      </c>
      <c r="R45" s="5" t="str">
        <f t="shared" si="14"/>
        <v/>
      </c>
      <c r="S45" s="4" t="str">
        <f>IF(A45="","",VLOOKUP(J45,[1]Initiated!$A:$Y,3,FALSE))</f>
        <v/>
      </c>
      <c r="T45" s="4" t="str">
        <f t="shared" ca="1" si="15"/>
        <v/>
      </c>
      <c r="U45" s="5" t="str">
        <f t="shared" si="16"/>
        <v/>
      </c>
      <c r="V45" s="5" t="str">
        <f t="shared" si="17"/>
        <v/>
      </c>
      <c r="W45" s="4" t="str">
        <f>IF(A45="","",VLOOKUP(J45,[1]Initiated!$A:$Y,10,0))</f>
        <v/>
      </c>
      <c r="X45" s="5" t="str">
        <f t="shared" si="18"/>
        <v/>
      </c>
    </row>
    <row r="46" spans="1:28" x14ac:dyDescent="0.25">
      <c r="A46" s="6"/>
      <c r="B46" s="6" t="str">
        <f t="shared" si="8"/>
        <v/>
      </c>
      <c r="C46" s="6" t="str">
        <f t="shared" si="9"/>
        <v/>
      </c>
      <c r="D46" s="6"/>
      <c r="E46" s="6"/>
      <c r="F46" s="6"/>
      <c r="G46" s="6"/>
      <c r="H46" s="6" t="str">
        <f t="shared" si="10"/>
        <v/>
      </c>
      <c r="I46" s="6" t="str">
        <f t="shared" ca="1" si="11"/>
        <v/>
      </c>
      <c r="J46" s="3" t="str">
        <f t="shared" si="12"/>
        <v/>
      </c>
      <c r="K46" s="6" t="str">
        <f>IF(A46="","",VLOOKUP(J46,[1]Initiated!$A:$Y,2,0))</f>
        <v/>
      </c>
      <c r="L46" s="2" t="str">
        <f>IF(A46="","",VLOOKUP(J46,[1]Initiated!$A:$Y,5,FALSE))</f>
        <v/>
      </c>
      <c r="M46" s="6" t="str">
        <f>IF(A46="","",VLOOKUP(J46,[1]Initiated!$A:$Y,6,FALSE))</f>
        <v/>
      </c>
      <c r="N46" s="6" t="str">
        <f>IF(A46="","",VLOOKUP(J46,[1]Initiated!$A:$Y,9,FALSE))</f>
        <v/>
      </c>
      <c r="O46" s="3" t="str">
        <f t="shared" si="13"/>
        <v/>
      </c>
      <c r="P46" s="6" t="str">
        <f>IF(OR(A46="", ISNUMBER(SEARCH("PFr", C46))), "", VLOOKUP(J46, [1]Initiated!$A:$Y, 7, FALSE))</f>
        <v/>
      </c>
      <c r="Q46" s="6" t="str">
        <f>IF(OR(A46="", ISNUMBER(SEARCH("PFr", C46))), "", VLOOKUP(J46, [1]Initiated!$A:$Y, 8, 0))</f>
        <v/>
      </c>
      <c r="R46" s="5" t="str">
        <f t="shared" si="14"/>
        <v/>
      </c>
      <c r="S46" s="4" t="str">
        <f>IF(A46="","",VLOOKUP(J46,[1]Initiated!$A:$Y,3,FALSE))</f>
        <v/>
      </c>
      <c r="T46" s="4" t="str">
        <f t="shared" ca="1" si="15"/>
        <v/>
      </c>
      <c r="U46" s="5" t="str">
        <f t="shared" si="16"/>
        <v/>
      </c>
      <c r="V46" s="5" t="str">
        <f t="shared" si="17"/>
        <v/>
      </c>
      <c r="W46" s="4" t="str">
        <f>IF(A46="","",VLOOKUP(J46,[1]Initiated!$A:$Y,10,0))</f>
        <v/>
      </c>
      <c r="X46" s="5" t="str">
        <f t="shared" si="18"/>
        <v/>
      </c>
    </row>
    <row r="47" spans="1:28" x14ac:dyDescent="0.25">
      <c r="A47" s="6"/>
      <c r="B47" s="6" t="str">
        <f t="shared" si="8"/>
        <v/>
      </c>
      <c r="C47" s="6" t="str">
        <f t="shared" si="9"/>
        <v/>
      </c>
      <c r="D47" s="6"/>
      <c r="E47" s="6"/>
      <c r="F47" s="6"/>
      <c r="G47" s="6"/>
      <c r="H47" s="6" t="str">
        <f t="shared" si="10"/>
        <v/>
      </c>
      <c r="I47" s="6" t="str">
        <f t="shared" ca="1" si="11"/>
        <v/>
      </c>
      <c r="J47" s="3" t="str">
        <f t="shared" si="12"/>
        <v/>
      </c>
      <c r="K47" s="6" t="str">
        <f>IF(A47="","",VLOOKUP(J47,[1]Initiated!$A:$Y,2,0))</f>
        <v/>
      </c>
      <c r="L47" s="2" t="str">
        <f>IF(A47="","",VLOOKUP(J47,[1]Initiated!$A:$Y,5,FALSE))</f>
        <v/>
      </c>
      <c r="M47" s="6" t="str">
        <f>IF(A47="","",VLOOKUP(J47,[1]Initiated!$A:$Y,6,FALSE))</f>
        <v/>
      </c>
      <c r="N47" s="6" t="str">
        <f>IF(A47="","",VLOOKUP(J47,[1]Initiated!$A:$Y,9,FALSE))</f>
        <v/>
      </c>
      <c r="O47" s="3" t="str">
        <f t="shared" si="13"/>
        <v/>
      </c>
      <c r="P47" s="6" t="str">
        <f>IF(OR(A47="", ISNUMBER(SEARCH("PFr", C47))), "", VLOOKUP(J47, [1]Initiated!$A:$Y, 7, FALSE))</f>
        <v/>
      </c>
      <c r="Q47" s="6" t="str">
        <f>IF(OR(A47="", ISNUMBER(SEARCH("PFr", C47))), "", VLOOKUP(J47, [1]Initiated!$A:$Y, 8, 0))</f>
        <v/>
      </c>
      <c r="R47" s="5" t="str">
        <f t="shared" si="14"/>
        <v/>
      </c>
      <c r="S47" s="4" t="str">
        <f>IF(A47="","",VLOOKUP(J47,[1]Initiated!$A:$Y,3,FALSE))</f>
        <v/>
      </c>
      <c r="T47" s="4" t="str">
        <f t="shared" ca="1" si="15"/>
        <v/>
      </c>
      <c r="U47" s="5" t="str">
        <f t="shared" si="16"/>
        <v/>
      </c>
      <c r="V47" s="5" t="str">
        <f t="shared" si="17"/>
        <v/>
      </c>
      <c r="W47" s="4" t="str">
        <f>IF(A47="","",VLOOKUP(J47,[1]Initiated!$A:$Y,10,0))</f>
        <v/>
      </c>
      <c r="X47" s="5" t="str">
        <f t="shared" si="18"/>
        <v/>
      </c>
    </row>
    <row r="48" spans="1:28" x14ac:dyDescent="0.25">
      <c r="A48" s="6"/>
      <c r="B48" s="6" t="str">
        <f t="shared" si="8"/>
        <v/>
      </c>
      <c r="C48" s="6" t="str">
        <f t="shared" si="9"/>
        <v/>
      </c>
      <c r="D48" s="6"/>
      <c r="E48" s="6"/>
      <c r="F48" s="6"/>
      <c r="G48" s="6"/>
      <c r="H48" s="6" t="str">
        <f t="shared" si="10"/>
        <v/>
      </c>
      <c r="I48" s="6" t="str">
        <f t="shared" ca="1" si="11"/>
        <v/>
      </c>
      <c r="J48" s="3" t="str">
        <f t="shared" si="12"/>
        <v/>
      </c>
      <c r="K48" s="6" t="str">
        <f>IF(A48="","",VLOOKUP(J48,[1]Initiated!$A:$Y,2,0))</f>
        <v/>
      </c>
      <c r="L48" s="2" t="str">
        <f>IF(A48="","",VLOOKUP(J48,[1]Initiated!$A:$Y,5,FALSE))</f>
        <v/>
      </c>
      <c r="M48" s="6" t="str">
        <f>IF(A48="","",VLOOKUP(J48,[1]Initiated!$A:$Y,6,FALSE))</f>
        <v/>
      </c>
      <c r="N48" s="6" t="str">
        <f>IF(A48="","",VLOOKUP(J48,[1]Initiated!$A:$Y,9,FALSE))</f>
        <v/>
      </c>
      <c r="O48" s="3" t="str">
        <f t="shared" si="13"/>
        <v/>
      </c>
      <c r="P48" s="6" t="str">
        <f>IF(OR(A48="", ISNUMBER(SEARCH("PFr", C48))), "", VLOOKUP(J48, [1]Initiated!$A:$Y, 7, FALSE))</f>
        <v/>
      </c>
      <c r="Q48" s="6" t="str">
        <f>IF(OR(A48="", ISNUMBER(SEARCH("PFr", C48))), "", VLOOKUP(J48, [1]Initiated!$A:$Y, 8, 0))</f>
        <v/>
      </c>
      <c r="R48" s="5" t="str">
        <f t="shared" si="14"/>
        <v/>
      </c>
      <c r="S48" s="4" t="str">
        <f>IF(A48="","",VLOOKUP(J48,[1]Initiated!$A:$Y,3,FALSE))</f>
        <v/>
      </c>
      <c r="T48" s="4" t="str">
        <f t="shared" ca="1" si="15"/>
        <v/>
      </c>
      <c r="U48" s="5" t="str">
        <f t="shared" si="16"/>
        <v/>
      </c>
      <c r="V48" s="5" t="str">
        <f t="shared" si="17"/>
        <v/>
      </c>
      <c r="W48" s="4" t="str">
        <f>IF(A48="","",VLOOKUP(J48,[1]Initiated!$A:$Y,10,0))</f>
        <v/>
      </c>
      <c r="X48" s="5" t="str">
        <f t="shared" si="18"/>
        <v/>
      </c>
    </row>
    <row r="49" spans="1:24" x14ac:dyDescent="0.25">
      <c r="A49" s="6"/>
      <c r="B49" s="6" t="str">
        <f t="shared" si="8"/>
        <v/>
      </c>
      <c r="C49" s="6" t="str">
        <f t="shared" si="9"/>
        <v/>
      </c>
      <c r="D49" s="6"/>
      <c r="E49" s="6"/>
      <c r="F49" s="6"/>
      <c r="G49" s="6"/>
      <c r="H49" s="6" t="str">
        <f t="shared" si="10"/>
        <v/>
      </c>
      <c r="I49" s="6" t="str">
        <f t="shared" ca="1" si="11"/>
        <v/>
      </c>
      <c r="J49" s="3" t="str">
        <f t="shared" si="12"/>
        <v/>
      </c>
      <c r="K49" s="6" t="str">
        <f>IF(A49="","",VLOOKUP(J49,[1]Initiated!$A:$Y,2,0))</f>
        <v/>
      </c>
      <c r="L49" s="2" t="str">
        <f>IF(A49="","",VLOOKUP(J49,[1]Initiated!$A:$Y,5,FALSE))</f>
        <v/>
      </c>
      <c r="M49" s="6" t="str">
        <f>IF(A49="","",VLOOKUP(J49,[1]Initiated!$A:$Y,6,FALSE))</f>
        <v/>
      </c>
      <c r="N49" s="6" t="str">
        <f>IF(A49="","",VLOOKUP(J49,[1]Initiated!$A:$Y,9,FALSE))</f>
        <v/>
      </c>
      <c r="O49" s="3" t="str">
        <f t="shared" si="13"/>
        <v/>
      </c>
      <c r="P49" s="6" t="str">
        <f>IF(OR(A49="", ISNUMBER(SEARCH("PFr", C49))), "", VLOOKUP(J49, [1]Initiated!$A:$Y, 7, FALSE))</f>
        <v/>
      </c>
      <c r="Q49" s="6" t="str">
        <f>IF(OR(A49="", ISNUMBER(SEARCH("PFr", C49))), "", VLOOKUP(J49, [1]Initiated!$A:$Y, 8, 0))</f>
        <v/>
      </c>
      <c r="R49" s="5" t="str">
        <f t="shared" si="14"/>
        <v/>
      </c>
      <c r="S49" s="4" t="str">
        <f>IF(A49="","",VLOOKUP(J49,[1]Initiated!$A:$Y,3,FALSE))</f>
        <v/>
      </c>
      <c r="T49" s="4" t="str">
        <f t="shared" ca="1" si="15"/>
        <v/>
      </c>
      <c r="U49" s="5" t="str">
        <f t="shared" si="16"/>
        <v/>
      </c>
      <c r="V49" s="5" t="str">
        <f t="shared" si="17"/>
        <v/>
      </c>
      <c r="W49" s="4" t="str">
        <f>IF(A49="","",VLOOKUP(J49,[1]Initiated!$A:$Y,10,0))</f>
        <v/>
      </c>
      <c r="X49" s="5" t="str">
        <f t="shared" si="18"/>
        <v/>
      </c>
    </row>
    <row r="50" spans="1:24" x14ac:dyDescent="0.25">
      <c r="A50" s="6"/>
      <c r="B50" s="6" t="str">
        <f t="shared" si="8"/>
        <v/>
      </c>
      <c r="C50" s="6" t="str">
        <f t="shared" si="9"/>
        <v/>
      </c>
      <c r="D50" s="6"/>
      <c r="E50" s="6"/>
      <c r="F50" s="6"/>
      <c r="G50" s="6"/>
      <c r="H50" s="6" t="str">
        <f t="shared" si="10"/>
        <v/>
      </c>
      <c r="I50" s="6" t="str">
        <f t="shared" ca="1" si="11"/>
        <v/>
      </c>
      <c r="J50" s="3" t="str">
        <f t="shared" si="12"/>
        <v/>
      </c>
      <c r="K50" s="6" t="str">
        <f>IF(A50="","",VLOOKUP(J50,[1]Initiated!$A:$Y,2,0))</f>
        <v/>
      </c>
      <c r="L50" s="2" t="str">
        <f>IF(A50="","",VLOOKUP(J50,[1]Initiated!$A:$Y,5,FALSE))</f>
        <v/>
      </c>
      <c r="M50" s="6" t="str">
        <f>IF(A50="","",VLOOKUP(J50,[1]Initiated!$A:$Y,6,FALSE))</f>
        <v/>
      </c>
      <c r="N50" s="6" t="str">
        <f>IF(A50="","",VLOOKUP(J50,[1]Initiated!$A:$Y,9,FALSE))</f>
        <v/>
      </c>
      <c r="O50" s="3" t="str">
        <f t="shared" si="13"/>
        <v/>
      </c>
      <c r="P50" s="6" t="str">
        <f>IF(OR(A50="", ISNUMBER(SEARCH("PFr", C50))), "", VLOOKUP(J50, [1]Initiated!$A:$Y, 7, FALSE))</f>
        <v/>
      </c>
      <c r="Q50" s="6" t="str">
        <f>IF(OR(A50="", ISNUMBER(SEARCH("PFr", C50))), "", VLOOKUP(J50, [1]Initiated!$A:$Y, 8, 0))</f>
        <v/>
      </c>
      <c r="R50" s="5" t="str">
        <f t="shared" si="14"/>
        <v/>
      </c>
      <c r="S50" s="4" t="str">
        <f>IF(A50="","",VLOOKUP(J50,[1]Initiated!$A:$Y,3,FALSE))</f>
        <v/>
      </c>
      <c r="T50" s="4" t="str">
        <f t="shared" ca="1" si="15"/>
        <v/>
      </c>
      <c r="U50" s="5" t="str">
        <f t="shared" si="16"/>
        <v/>
      </c>
      <c r="V50" s="5" t="str">
        <f t="shared" si="17"/>
        <v/>
      </c>
      <c r="W50" s="4" t="str">
        <f>IF(A50="","",VLOOKUP(J50,[1]Initiated!$A:$Y,10,0))</f>
        <v/>
      </c>
      <c r="X50" s="5" t="str">
        <f t="shared" si="18"/>
        <v/>
      </c>
    </row>
    <row r="51" spans="1:24" x14ac:dyDescent="0.25">
      <c r="A51" s="6"/>
      <c r="B51" s="6" t="str">
        <f t="shared" si="8"/>
        <v/>
      </c>
      <c r="C51" s="6" t="str">
        <f t="shared" si="9"/>
        <v/>
      </c>
      <c r="D51" s="6"/>
      <c r="E51" s="6"/>
      <c r="F51" s="6"/>
      <c r="G51" s="6"/>
      <c r="H51" s="6" t="str">
        <f t="shared" si="10"/>
        <v/>
      </c>
      <c r="I51" s="6" t="str">
        <f t="shared" ca="1" si="11"/>
        <v/>
      </c>
      <c r="J51" s="3" t="str">
        <f t="shared" si="12"/>
        <v/>
      </c>
      <c r="K51" s="6" t="str">
        <f>IF(A51="","",VLOOKUP(J51,[1]Initiated!$A:$Y,2,0))</f>
        <v/>
      </c>
      <c r="L51" s="2" t="str">
        <f>IF(A51="","",VLOOKUP(J51,[1]Initiated!$A:$Y,5,FALSE))</f>
        <v/>
      </c>
      <c r="M51" s="6" t="str">
        <f>IF(A51="","",VLOOKUP(J51,[1]Initiated!$A:$Y,6,FALSE))</f>
        <v/>
      </c>
      <c r="N51" s="6" t="str">
        <f>IF(A51="","",VLOOKUP(J51,[1]Initiated!$A:$Y,9,FALSE))</f>
        <v/>
      </c>
      <c r="O51" s="3" t="str">
        <f t="shared" si="13"/>
        <v/>
      </c>
      <c r="P51" s="6" t="str">
        <f>IF(OR(A51="", ISNUMBER(SEARCH("PFr", C51))), "", VLOOKUP(J51, [1]Initiated!$A:$Y, 7, FALSE))</f>
        <v/>
      </c>
      <c r="Q51" s="6" t="str">
        <f>IF(OR(A51="", ISNUMBER(SEARCH("PFr", C51))), "", VLOOKUP(J51, [1]Initiated!$A:$Y, 8, 0))</f>
        <v/>
      </c>
      <c r="R51" s="5" t="str">
        <f t="shared" si="14"/>
        <v/>
      </c>
      <c r="S51" s="4" t="str">
        <f>IF(A51="","",VLOOKUP(J51,[1]Initiated!$A:$Y,3,FALSE))</f>
        <v/>
      </c>
      <c r="T51" s="4" t="str">
        <f t="shared" ca="1" si="15"/>
        <v/>
      </c>
      <c r="U51" s="5" t="str">
        <f t="shared" si="16"/>
        <v/>
      </c>
      <c r="V51" s="5" t="str">
        <f t="shared" si="17"/>
        <v/>
      </c>
      <c r="W51" s="4" t="str">
        <f>IF(A51="","",VLOOKUP(J51,[1]Initiated!$A:$Y,10,0))</f>
        <v/>
      </c>
      <c r="X51" s="5" t="str">
        <f t="shared" si="18"/>
        <v/>
      </c>
    </row>
    <row r="52" spans="1:24" x14ac:dyDescent="0.25">
      <c r="A52" s="6"/>
      <c r="B52" s="6" t="str">
        <f t="shared" si="8"/>
        <v/>
      </c>
      <c r="C52" s="6" t="str">
        <f t="shared" si="9"/>
        <v/>
      </c>
      <c r="D52" s="6"/>
      <c r="E52" s="6"/>
      <c r="F52" s="6"/>
      <c r="G52" s="6"/>
      <c r="H52" s="6" t="str">
        <f t="shared" si="10"/>
        <v/>
      </c>
      <c r="I52" s="6" t="str">
        <f t="shared" ca="1" si="11"/>
        <v/>
      </c>
      <c r="J52" s="3" t="str">
        <f t="shared" si="12"/>
        <v/>
      </c>
      <c r="K52" s="6" t="str">
        <f>IF(A52="","",VLOOKUP(J52,[1]Initiated!$A:$Y,2,0))</f>
        <v/>
      </c>
      <c r="L52" s="2" t="str">
        <f>IF(A52="","",VLOOKUP(J52,[1]Initiated!$A:$Y,5,FALSE))</f>
        <v/>
      </c>
      <c r="M52" s="6" t="str">
        <f>IF(A52="","",VLOOKUP(J52,[1]Initiated!$A:$Y,6,FALSE))</f>
        <v/>
      </c>
      <c r="N52" s="6" t="str">
        <f>IF(A52="","",VLOOKUP(J52,[1]Initiated!$A:$Y,9,FALSE))</f>
        <v/>
      </c>
      <c r="O52" s="3" t="str">
        <f t="shared" si="13"/>
        <v/>
      </c>
      <c r="P52" s="6" t="str">
        <f>IF(OR(A52="", ISNUMBER(SEARCH("PFr", C52))), "", VLOOKUP(J52, [1]Initiated!$A:$Y, 7, FALSE))</f>
        <v/>
      </c>
      <c r="Q52" s="6" t="str">
        <f>IF(OR(A52="", ISNUMBER(SEARCH("PFr", C52))), "", VLOOKUP(J52, [1]Initiated!$A:$Y, 8, 0))</f>
        <v/>
      </c>
      <c r="R52" s="5" t="str">
        <f t="shared" si="14"/>
        <v/>
      </c>
      <c r="S52" s="4" t="str">
        <f>IF(A52="","",VLOOKUP(J52,[1]Initiated!$A:$Y,3,FALSE))</f>
        <v/>
      </c>
      <c r="T52" s="4" t="str">
        <f t="shared" ca="1" si="15"/>
        <v/>
      </c>
      <c r="U52" s="5" t="str">
        <f t="shared" si="16"/>
        <v/>
      </c>
      <c r="V52" s="5" t="str">
        <f t="shared" si="17"/>
        <v/>
      </c>
      <c r="W52" s="4" t="str">
        <f>IF(A52="","",VLOOKUP(J52,[1]Initiated!$A:$Y,10,0))</f>
        <v/>
      </c>
      <c r="X52" s="5" t="str">
        <f t="shared" si="18"/>
        <v/>
      </c>
    </row>
    <row r="53" spans="1:24" x14ac:dyDescent="0.25">
      <c r="A53" s="6"/>
      <c r="B53" s="6" t="str">
        <f t="shared" si="8"/>
        <v/>
      </c>
      <c r="C53" s="6" t="str">
        <f t="shared" si="9"/>
        <v/>
      </c>
      <c r="D53" s="6"/>
      <c r="E53" s="6"/>
      <c r="F53" s="6"/>
      <c r="G53" s="6"/>
      <c r="H53" s="6" t="str">
        <f t="shared" si="10"/>
        <v/>
      </c>
      <c r="I53" s="6" t="str">
        <f t="shared" ca="1" si="11"/>
        <v/>
      </c>
      <c r="J53" s="3" t="str">
        <f t="shared" si="12"/>
        <v/>
      </c>
      <c r="K53" s="6" t="str">
        <f>IF(A53="","",VLOOKUP(J53,[1]Initiated!$A:$Y,2,0))</f>
        <v/>
      </c>
      <c r="L53" s="2" t="str">
        <f>IF(A53="","",VLOOKUP(J53,[1]Initiated!$A:$Y,5,FALSE))</f>
        <v/>
      </c>
      <c r="M53" s="6" t="str">
        <f>IF(A53="","",VLOOKUP(J53,[1]Initiated!$A:$Y,6,FALSE))</f>
        <v/>
      </c>
      <c r="N53" s="6" t="str">
        <f>IF(A53="","",VLOOKUP(J53,[1]Initiated!$A:$Y,9,FALSE))</f>
        <v/>
      </c>
      <c r="O53" s="3" t="str">
        <f t="shared" si="13"/>
        <v/>
      </c>
      <c r="P53" s="6" t="str">
        <f>IF(OR(A53="", ISNUMBER(SEARCH("PFr", C53))), "", VLOOKUP(J53, [1]Initiated!$A:$Y, 7, FALSE))</f>
        <v/>
      </c>
      <c r="Q53" s="6" t="str">
        <f>IF(OR(A53="", ISNUMBER(SEARCH("PFr", C53))), "", VLOOKUP(J53, [1]Initiated!$A:$Y, 8, 0))</f>
        <v/>
      </c>
      <c r="R53" s="5" t="str">
        <f t="shared" si="14"/>
        <v/>
      </c>
      <c r="S53" s="4" t="str">
        <f>IF(A53="","",VLOOKUP(J53,[1]Initiated!$A:$Y,3,FALSE))</f>
        <v/>
      </c>
      <c r="T53" s="4" t="str">
        <f t="shared" ca="1" si="15"/>
        <v/>
      </c>
      <c r="U53" s="5" t="str">
        <f t="shared" si="16"/>
        <v/>
      </c>
      <c r="V53" s="5" t="str">
        <f t="shared" si="17"/>
        <v/>
      </c>
      <c r="W53" s="4" t="str">
        <f>IF(A53="","",VLOOKUP(J53,[1]Initiated!$A:$Y,10,0))</f>
        <v/>
      </c>
      <c r="X53" s="5" t="str">
        <f t="shared" si="18"/>
        <v/>
      </c>
    </row>
    <row r="54" spans="1:24" x14ac:dyDescent="0.25">
      <c r="A54" s="6"/>
      <c r="B54" s="6" t="str">
        <f t="shared" si="8"/>
        <v/>
      </c>
      <c r="C54" s="6" t="str">
        <f t="shared" si="9"/>
        <v/>
      </c>
      <c r="D54" s="6"/>
      <c r="E54" s="6"/>
      <c r="F54" s="6"/>
      <c r="G54" s="6"/>
      <c r="H54" s="6" t="str">
        <f t="shared" si="10"/>
        <v/>
      </c>
      <c r="I54" s="6" t="str">
        <f t="shared" ca="1" si="11"/>
        <v/>
      </c>
      <c r="J54" s="3" t="str">
        <f t="shared" si="12"/>
        <v/>
      </c>
      <c r="K54" s="6" t="str">
        <f>IF(A54="","",VLOOKUP(J54,[1]Initiated!$A:$Y,2,0))</f>
        <v/>
      </c>
      <c r="L54" s="2" t="str">
        <f>IF(A54="","",VLOOKUP(J54,[1]Initiated!$A:$Y,5,FALSE))</f>
        <v/>
      </c>
      <c r="M54" s="6" t="str">
        <f>IF(A54="","",VLOOKUP(J54,[1]Initiated!$A:$Y,6,FALSE))</f>
        <v/>
      </c>
      <c r="N54" s="6" t="str">
        <f>IF(A54="","",VLOOKUP(J54,[1]Initiated!$A:$Y,9,FALSE))</f>
        <v/>
      </c>
      <c r="O54" s="3" t="str">
        <f t="shared" si="13"/>
        <v/>
      </c>
      <c r="P54" s="6" t="str">
        <f>IF(OR(A54="", ISNUMBER(SEARCH("PFr", C54))), "", VLOOKUP(J54, [1]Initiated!$A:$Y, 7, FALSE))</f>
        <v/>
      </c>
      <c r="Q54" s="6" t="str">
        <f>IF(OR(A54="", ISNUMBER(SEARCH("PFr", C54))), "", VLOOKUP(J54, [1]Initiated!$A:$Y, 8, 0))</f>
        <v/>
      </c>
      <c r="R54" s="5" t="str">
        <f t="shared" si="14"/>
        <v/>
      </c>
      <c r="S54" s="4" t="str">
        <f>IF(A54="","",VLOOKUP(J54,[1]Initiated!$A:$Y,3,FALSE))</f>
        <v/>
      </c>
      <c r="T54" s="4" t="str">
        <f t="shared" ca="1" si="15"/>
        <v/>
      </c>
      <c r="U54" s="5" t="str">
        <f t="shared" si="16"/>
        <v/>
      </c>
      <c r="V54" s="5" t="str">
        <f t="shared" si="17"/>
        <v/>
      </c>
      <c r="W54" s="4" t="str">
        <f>IF(A54="","",VLOOKUP(J54,[1]Initiated!$A:$Y,10,0))</f>
        <v/>
      </c>
      <c r="X54" s="5" t="str">
        <f t="shared" si="18"/>
        <v/>
      </c>
    </row>
    <row r="55" spans="1:24" x14ac:dyDescent="0.25">
      <c r="A55" s="6"/>
      <c r="B55" s="6" t="str">
        <f t="shared" si="8"/>
        <v/>
      </c>
      <c r="C55" s="6" t="str">
        <f t="shared" si="9"/>
        <v/>
      </c>
      <c r="D55" s="6"/>
      <c r="E55" s="6"/>
      <c r="F55" s="6"/>
      <c r="G55" s="6"/>
      <c r="H55" s="6" t="str">
        <f t="shared" si="10"/>
        <v/>
      </c>
      <c r="I55" s="6" t="str">
        <f t="shared" ca="1" si="11"/>
        <v/>
      </c>
      <c r="J55" s="3" t="str">
        <f t="shared" si="12"/>
        <v/>
      </c>
      <c r="K55" s="6" t="str">
        <f>IF(A55="","",VLOOKUP(J55,[1]Initiated!$A:$Y,2,0))</f>
        <v/>
      </c>
      <c r="L55" s="2" t="str">
        <f>IF(A55="","",VLOOKUP(J55,[1]Initiated!$A:$Y,5,FALSE))</f>
        <v/>
      </c>
      <c r="M55" s="6" t="str">
        <f>IF(A55="","",VLOOKUP(J55,[1]Initiated!$A:$Y,6,FALSE))</f>
        <v/>
      </c>
      <c r="N55" s="6" t="str">
        <f>IF(A55="","",VLOOKUP(J55,[1]Initiated!$A:$Y,9,FALSE))</f>
        <v/>
      </c>
      <c r="O55" s="3" t="str">
        <f t="shared" si="13"/>
        <v/>
      </c>
      <c r="P55" s="6" t="str">
        <f>IF(OR(A55="", ISNUMBER(SEARCH("PFr", C55))), "", VLOOKUP(J55, [1]Initiated!$A:$Y, 7, FALSE))</f>
        <v/>
      </c>
      <c r="Q55" s="6" t="str">
        <f>IF(OR(A55="", ISNUMBER(SEARCH("PFr", C55))), "", VLOOKUP(J55, [1]Initiated!$A:$Y, 8, 0))</f>
        <v/>
      </c>
      <c r="R55" s="5" t="str">
        <f t="shared" si="14"/>
        <v/>
      </c>
      <c r="S55" s="4" t="str">
        <f>IF(A55="","",VLOOKUP(J55,[1]Initiated!$A:$Y,3,FALSE))</f>
        <v/>
      </c>
      <c r="T55" s="4" t="str">
        <f t="shared" ca="1" si="15"/>
        <v/>
      </c>
      <c r="U55" s="5" t="str">
        <f t="shared" si="16"/>
        <v/>
      </c>
      <c r="V55" s="5" t="str">
        <f t="shared" si="17"/>
        <v/>
      </c>
      <c r="W55" s="4" t="str">
        <f>IF(A55="","",VLOOKUP(J55,[1]Initiated!$A:$Y,10,0))</f>
        <v/>
      </c>
      <c r="X55" s="5" t="str">
        <f t="shared" si="18"/>
        <v/>
      </c>
    </row>
    <row r="56" spans="1:24" x14ac:dyDescent="0.25">
      <c r="A56" s="6"/>
      <c r="B56" s="6" t="str">
        <f t="shared" si="8"/>
        <v/>
      </c>
      <c r="C56" s="6" t="str">
        <f t="shared" si="9"/>
        <v/>
      </c>
      <c r="D56" s="6"/>
      <c r="E56" s="6"/>
      <c r="F56" s="6"/>
      <c r="G56" s="6"/>
      <c r="H56" s="6" t="str">
        <f t="shared" si="10"/>
        <v/>
      </c>
      <c r="I56" s="6" t="str">
        <f t="shared" ca="1" si="11"/>
        <v/>
      </c>
      <c r="J56" s="3" t="str">
        <f t="shared" si="12"/>
        <v/>
      </c>
      <c r="K56" s="6" t="str">
        <f>IF(A56="","",VLOOKUP(J56,[1]Initiated!$A:$Y,2,0))</f>
        <v/>
      </c>
      <c r="L56" s="2" t="str">
        <f>IF(A56="","",VLOOKUP(J56,[1]Initiated!$A:$Y,5,FALSE))</f>
        <v/>
      </c>
      <c r="M56" s="6" t="str">
        <f>IF(A56="","",VLOOKUP(J56,[1]Initiated!$A:$Y,6,FALSE))</f>
        <v/>
      </c>
      <c r="N56" s="6" t="str">
        <f>IF(A56="","",VLOOKUP(J56,[1]Initiated!$A:$Y,9,FALSE))</f>
        <v/>
      </c>
      <c r="O56" s="3" t="str">
        <f t="shared" si="13"/>
        <v/>
      </c>
      <c r="P56" s="6" t="str">
        <f>IF(OR(A56="", ISNUMBER(SEARCH("PFr", C56))), "", VLOOKUP(J56, [1]Initiated!$A:$Y, 7, FALSE))</f>
        <v/>
      </c>
      <c r="Q56" s="6" t="str">
        <f>IF(OR(A56="", ISNUMBER(SEARCH("PFr", C56))), "", VLOOKUP(J56, [1]Initiated!$A:$Y, 8, 0))</f>
        <v/>
      </c>
      <c r="R56" s="5" t="str">
        <f t="shared" si="14"/>
        <v/>
      </c>
      <c r="S56" s="4" t="str">
        <f>IF(A56="","",VLOOKUP(J56,[1]Initiated!$A:$Y,3,FALSE))</f>
        <v/>
      </c>
      <c r="T56" s="4" t="str">
        <f t="shared" ca="1" si="15"/>
        <v/>
      </c>
      <c r="U56" s="5" t="str">
        <f t="shared" si="16"/>
        <v/>
      </c>
      <c r="V56" s="5" t="str">
        <f t="shared" si="17"/>
        <v/>
      </c>
      <c r="W56" s="4" t="str">
        <f>IF(A56="","",VLOOKUP(J56,[1]Initiated!$A:$Y,10,0))</f>
        <v/>
      </c>
      <c r="X56" s="5" t="str">
        <f t="shared" si="18"/>
        <v/>
      </c>
    </row>
    <row r="57" spans="1:24" x14ac:dyDescent="0.25">
      <c r="A57" s="6"/>
      <c r="B57" s="6" t="str">
        <f t="shared" si="8"/>
        <v/>
      </c>
      <c r="C57" s="6" t="str">
        <f t="shared" si="9"/>
        <v/>
      </c>
      <c r="D57" s="6"/>
      <c r="E57" s="6"/>
      <c r="F57" s="6"/>
      <c r="G57" s="6"/>
      <c r="H57" s="6" t="str">
        <f t="shared" si="10"/>
        <v/>
      </c>
      <c r="I57" s="6" t="str">
        <f t="shared" ca="1" si="11"/>
        <v/>
      </c>
      <c r="J57" s="3" t="str">
        <f t="shared" si="12"/>
        <v/>
      </c>
      <c r="K57" s="6" t="str">
        <f>IF(A57="","",VLOOKUP(J57,[1]Initiated!$A:$Y,2,0))</f>
        <v/>
      </c>
      <c r="L57" s="2" t="str">
        <f>IF(A57="","",VLOOKUP(J57,[1]Initiated!$A:$Y,5,FALSE))</f>
        <v/>
      </c>
      <c r="M57" s="6" t="str">
        <f>IF(A57="","",VLOOKUP(J57,[1]Initiated!$A:$Y,6,FALSE))</f>
        <v/>
      </c>
      <c r="N57" s="6" t="str">
        <f>IF(A57="","",VLOOKUP(J57,[1]Initiated!$A:$Y,9,FALSE))</f>
        <v/>
      </c>
      <c r="O57" s="3" t="str">
        <f t="shared" si="13"/>
        <v/>
      </c>
      <c r="P57" s="6" t="str">
        <f>IF(OR(A57="", ISNUMBER(SEARCH("PFr", C57))), "", VLOOKUP(J57, [1]Initiated!$A:$Y, 7, FALSE))</f>
        <v/>
      </c>
      <c r="Q57" s="6" t="str">
        <f>IF(OR(A57="", ISNUMBER(SEARCH("PFr", C57))), "", VLOOKUP(J57, [1]Initiated!$A:$Y, 8, 0))</f>
        <v/>
      </c>
      <c r="R57" s="5" t="str">
        <f t="shared" si="14"/>
        <v/>
      </c>
      <c r="S57" s="4" t="str">
        <f>IF(A57="","",VLOOKUP(J57,[1]Initiated!$A:$Y,3,FALSE))</f>
        <v/>
      </c>
      <c r="T57" s="4" t="str">
        <f t="shared" ca="1" si="15"/>
        <v/>
      </c>
      <c r="U57" s="5" t="str">
        <f t="shared" si="16"/>
        <v/>
      </c>
      <c r="V57" s="5" t="str">
        <f t="shared" si="17"/>
        <v/>
      </c>
      <c r="W57" s="4" t="str">
        <f>IF(A57="","",VLOOKUP(J57,[1]Initiated!$A:$Y,10,0))</f>
        <v/>
      </c>
      <c r="X57" s="5" t="str">
        <f t="shared" si="18"/>
        <v/>
      </c>
    </row>
    <row r="58" spans="1:24" x14ac:dyDescent="0.25">
      <c r="A58" s="6"/>
      <c r="B58" s="6" t="str">
        <f t="shared" si="8"/>
        <v/>
      </c>
      <c r="C58" s="6" t="str">
        <f t="shared" si="9"/>
        <v/>
      </c>
      <c r="D58" s="6"/>
      <c r="E58" s="6"/>
      <c r="F58" s="6"/>
      <c r="G58" s="6"/>
      <c r="H58" s="6" t="str">
        <f t="shared" si="10"/>
        <v/>
      </c>
      <c r="I58" s="6" t="str">
        <f t="shared" ca="1" si="11"/>
        <v/>
      </c>
      <c r="J58" s="3" t="str">
        <f t="shared" si="12"/>
        <v/>
      </c>
      <c r="K58" s="6" t="str">
        <f>IF(A58="","",VLOOKUP(J58,[1]Initiated!$A:$Y,2,0))</f>
        <v/>
      </c>
      <c r="L58" s="2" t="str">
        <f>IF(A58="","",VLOOKUP(J58,[1]Initiated!$A:$Y,5,FALSE))</f>
        <v/>
      </c>
      <c r="M58" s="6" t="str">
        <f>IF(A58="","",VLOOKUP(J58,[1]Initiated!$A:$Y,6,FALSE))</f>
        <v/>
      </c>
      <c r="N58" s="6" t="str">
        <f>IF(A58="","",VLOOKUP(J58,[1]Initiated!$A:$Y,9,FALSE))</f>
        <v/>
      </c>
      <c r="O58" s="3" t="str">
        <f t="shared" si="13"/>
        <v/>
      </c>
      <c r="P58" s="6" t="str">
        <f>IF(OR(A58="", ISNUMBER(SEARCH("PFr", C58))), "", VLOOKUP(J58, [1]Initiated!$A:$Y, 7, FALSE))</f>
        <v/>
      </c>
      <c r="Q58" s="6" t="str">
        <f>IF(OR(A58="", ISNUMBER(SEARCH("PFr", C58))), "", VLOOKUP(J58, [1]Initiated!$A:$Y, 8, 0))</f>
        <v/>
      </c>
      <c r="R58" s="5" t="str">
        <f t="shared" si="14"/>
        <v/>
      </c>
      <c r="S58" s="4" t="str">
        <f>IF(A58="","",VLOOKUP(J58,[1]Initiated!$A:$Y,3,FALSE))</f>
        <v/>
      </c>
      <c r="T58" s="4" t="str">
        <f t="shared" ca="1" si="15"/>
        <v/>
      </c>
      <c r="U58" s="5" t="str">
        <f t="shared" si="16"/>
        <v/>
      </c>
      <c r="V58" s="5" t="str">
        <f t="shared" si="17"/>
        <v/>
      </c>
      <c r="W58" s="4" t="str">
        <f>IF(A58="","",VLOOKUP(J58,[1]Initiated!$A:$Y,10,0))</f>
        <v/>
      </c>
      <c r="X58" s="5" t="str">
        <f t="shared" si="18"/>
        <v/>
      </c>
    </row>
    <row r="59" spans="1:24" x14ac:dyDescent="0.25">
      <c r="A59" s="6"/>
      <c r="B59" s="6" t="str">
        <f t="shared" si="8"/>
        <v/>
      </c>
      <c r="C59" s="6" t="str">
        <f t="shared" si="9"/>
        <v/>
      </c>
      <c r="D59" s="6"/>
      <c r="E59" s="6"/>
      <c r="F59" s="6"/>
      <c r="G59" s="6"/>
      <c r="H59" s="6" t="str">
        <f t="shared" si="10"/>
        <v/>
      </c>
      <c r="I59" s="6" t="str">
        <f t="shared" ca="1" si="11"/>
        <v/>
      </c>
      <c r="J59" s="3" t="str">
        <f t="shared" si="12"/>
        <v/>
      </c>
      <c r="K59" s="6" t="str">
        <f>IF(A59="","",VLOOKUP(J59,[1]Initiated!$A:$Y,2,0))</f>
        <v/>
      </c>
      <c r="L59" s="2" t="str">
        <f>IF(A59="","",VLOOKUP(J59,[1]Initiated!$A:$Y,5,FALSE))</f>
        <v/>
      </c>
      <c r="M59" s="6" t="str">
        <f>IF(A59="","",VLOOKUP(J59,[1]Initiated!$A:$Y,6,FALSE))</f>
        <v/>
      </c>
      <c r="N59" s="6" t="str">
        <f>IF(A59="","",VLOOKUP(J59,[1]Initiated!$A:$Y,9,FALSE))</f>
        <v/>
      </c>
      <c r="O59" s="3" t="str">
        <f t="shared" si="13"/>
        <v/>
      </c>
      <c r="P59" s="6" t="str">
        <f>IF(OR(A59="", ISNUMBER(SEARCH("PFr", C59))), "", VLOOKUP(J59, [1]Initiated!$A:$Y, 7, FALSE))</f>
        <v/>
      </c>
      <c r="Q59" s="6" t="str">
        <f>IF(OR(A59="", ISNUMBER(SEARCH("PFr", C59))), "", VLOOKUP(J59, [1]Initiated!$A:$Y, 8, 0))</f>
        <v/>
      </c>
      <c r="R59" s="5" t="str">
        <f t="shared" si="14"/>
        <v/>
      </c>
      <c r="S59" s="4" t="str">
        <f>IF(A59="","",VLOOKUP(J59,[1]Initiated!$A:$Y,3,FALSE))</f>
        <v/>
      </c>
      <c r="T59" s="4" t="str">
        <f t="shared" ca="1" si="15"/>
        <v/>
      </c>
      <c r="U59" s="5" t="str">
        <f t="shared" si="16"/>
        <v/>
      </c>
      <c r="V59" s="5" t="str">
        <f t="shared" si="17"/>
        <v/>
      </c>
      <c r="W59" s="4" t="str">
        <f>IF(A59="","",VLOOKUP(J59,[1]Initiated!$A:$Y,10,0))</f>
        <v/>
      </c>
      <c r="X59" s="5" t="str">
        <f t="shared" si="18"/>
        <v/>
      </c>
    </row>
    <row r="60" spans="1:24" x14ac:dyDescent="0.25">
      <c r="A60" s="6"/>
      <c r="B60" s="6" t="str">
        <f t="shared" si="8"/>
        <v/>
      </c>
      <c r="C60" s="6" t="str">
        <f t="shared" si="9"/>
        <v/>
      </c>
      <c r="D60" s="6"/>
      <c r="E60" s="6"/>
      <c r="F60" s="6"/>
      <c r="G60" s="6"/>
      <c r="H60" s="6" t="str">
        <f t="shared" si="10"/>
        <v/>
      </c>
      <c r="I60" s="6" t="str">
        <f t="shared" ca="1" si="11"/>
        <v/>
      </c>
      <c r="J60" s="3" t="str">
        <f t="shared" si="12"/>
        <v/>
      </c>
      <c r="K60" s="6" t="str">
        <f>IF(A60="","",VLOOKUP(J60,[1]Initiated!$A:$Y,2,0))</f>
        <v/>
      </c>
      <c r="L60" s="2" t="str">
        <f>IF(A60="","",VLOOKUP(J60,[1]Initiated!$A:$Y,5,FALSE))</f>
        <v/>
      </c>
      <c r="M60" s="6" t="str">
        <f>IF(A60="","",VLOOKUP(J60,[1]Initiated!$A:$Y,6,FALSE))</f>
        <v/>
      </c>
      <c r="N60" s="6" t="str">
        <f>IF(A60="","",VLOOKUP(J60,[1]Initiated!$A:$Y,9,FALSE))</f>
        <v/>
      </c>
      <c r="O60" s="3" t="str">
        <f t="shared" si="13"/>
        <v/>
      </c>
      <c r="P60" s="6" t="str">
        <f>IF(OR(A60="", ISNUMBER(SEARCH("PFr", C60))), "", VLOOKUP(J60, [1]Initiated!$A:$Y, 7, FALSE))</f>
        <v/>
      </c>
      <c r="Q60" s="6" t="str">
        <f>IF(OR(A60="", ISNUMBER(SEARCH("PFr", C60))), "", VLOOKUP(J60, [1]Initiated!$A:$Y, 8, 0))</f>
        <v/>
      </c>
      <c r="R60" s="5" t="str">
        <f t="shared" si="14"/>
        <v/>
      </c>
      <c r="S60" s="4" t="str">
        <f>IF(A60="","",VLOOKUP(J60,[1]Initiated!$A:$Y,3,FALSE))</f>
        <v/>
      </c>
      <c r="T60" s="4" t="str">
        <f t="shared" ca="1" si="15"/>
        <v/>
      </c>
      <c r="U60" s="5" t="str">
        <f t="shared" si="16"/>
        <v/>
      </c>
      <c r="V60" s="5" t="str">
        <f t="shared" si="17"/>
        <v/>
      </c>
      <c r="W60" s="4" t="str">
        <f>IF(A60="","",VLOOKUP(J60,[1]Initiated!$A:$Y,10,0))</f>
        <v/>
      </c>
      <c r="X60" s="5" t="str">
        <f t="shared" si="18"/>
        <v/>
      </c>
    </row>
    <row r="61" spans="1:24" x14ac:dyDescent="0.25">
      <c r="A61" s="6"/>
      <c r="B61" s="6" t="str">
        <f t="shared" si="8"/>
        <v/>
      </c>
      <c r="C61" s="6" t="str">
        <f t="shared" si="9"/>
        <v/>
      </c>
      <c r="D61" s="6"/>
      <c r="E61" s="6"/>
      <c r="F61" s="6"/>
      <c r="G61" s="6"/>
      <c r="H61" s="6" t="str">
        <f t="shared" si="10"/>
        <v/>
      </c>
      <c r="I61" s="6" t="str">
        <f t="shared" ca="1" si="11"/>
        <v/>
      </c>
      <c r="J61" s="3" t="str">
        <f t="shared" si="12"/>
        <v/>
      </c>
      <c r="K61" s="6" t="str">
        <f>IF(A61="","",VLOOKUP(J61,[1]Initiated!$A:$Y,2,0))</f>
        <v/>
      </c>
      <c r="L61" s="2" t="str">
        <f>IF(A61="","",VLOOKUP(J61,[1]Initiated!$A:$Y,5,FALSE))</f>
        <v/>
      </c>
      <c r="M61" s="6" t="str">
        <f>IF(A61="","",VLOOKUP(J61,[1]Initiated!$A:$Y,6,FALSE))</f>
        <v/>
      </c>
      <c r="N61" s="6" t="str">
        <f>IF(A61="","",VLOOKUP(J61,[1]Initiated!$A:$Y,9,FALSE))</f>
        <v/>
      </c>
      <c r="O61" s="3" t="str">
        <f t="shared" si="13"/>
        <v/>
      </c>
      <c r="P61" s="6" t="str">
        <f>IF(OR(A61="", ISNUMBER(SEARCH("PFr", C61))), "", VLOOKUP(J61, [1]Initiated!$A:$Y, 7, FALSE))</f>
        <v/>
      </c>
      <c r="Q61" s="6" t="str">
        <f>IF(OR(A61="", ISNUMBER(SEARCH("PFr", C61))), "", VLOOKUP(J61, [1]Initiated!$A:$Y, 8, 0))</f>
        <v/>
      </c>
      <c r="R61" s="5" t="str">
        <f t="shared" si="14"/>
        <v/>
      </c>
      <c r="S61" s="4" t="str">
        <f>IF(A61="","",VLOOKUP(J61,[1]Initiated!$A:$Y,3,FALSE))</f>
        <v/>
      </c>
      <c r="T61" s="4" t="str">
        <f t="shared" ca="1" si="15"/>
        <v/>
      </c>
      <c r="U61" s="5" t="str">
        <f t="shared" si="16"/>
        <v/>
      </c>
      <c r="V61" s="5" t="str">
        <f t="shared" si="17"/>
        <v/>
      </c>
      <c r="W61" s="4" t="str">
        <f>IF(A61="","",VLOOKUP(J61,[1]Initiated!$A:$Y,10,0))</f>
        <v/>
      </c>
      <c r="X61" s="5" t="str">
        <f t="shared" si="18"/>
        <v/>
      </c>
    </row>
    <row r="62" spans="1:24" x14ac:dyDescent="0.25">
      <c r="A62" s="6"/>
      <c r="B62" s="6" t="str">
        <f t="shared" si="8"/>
        <v/>
      </c>
      <c r="C62" s="6" t="str">
        <f t="shared" si="9"/>
        <v/>
      </c>
      <c r="D62" s="6"/>
      <c r="E62" s="6"/>
      <c r="F62" s="6"/>
      <c r="G62" s="6"/>
      <c r="H62" s="6" t="str">
        <f t="shared" si="10"/>
        <v/>
      </c>
      <c r="I62" s="6" t="str">
        <f t="shared" ca="1" si="11"/>
        <v/>
      </c>
      <c r="J62" s="3" t="str">
        <f t="shared" si="12"/>
        <v/>
      </c>
      <c r="K62" s="6" t="str">
        <f>IF(A62="","",VLOOKUP(J62,[1]Initiated!$A:$Y,2,0))</f>
        <v/>
      </c>
      <c r="L62" s="2" t="str">
        <f>IF(A62="","",VLOOKUP(J62,[1]Initiated!$A:$Y,5,FALSE))</f>
        <v/>
      </c>
      <c r="M62" s="6" t="str">
        <f>IF(A62="","",VLOOKUP(J62,[1]Initiated!$A:$Y,6,FALSE))</f>
        <v/>
      </c>
      <c r="N62" s="6" t="str">
        <f>IF(A62="","",VLOOKUP(J62,[1]Initiated!$A:$Y,9,FALSE))</f>
        <v/>
      </c>
      <c r="O62" s="3" t="str">
        <f t="shared" si="13"/>
        <v/>
      </c>
      <c r="P62" s="6" t="str">
        <f>IF(OR(A62="", ISNUMBER(SEARCH("PFr", C62))), "", VLOOKUP(J62, [1]Initiated!$A:$Y, 7, FALSE))</f>
        <v/>
      </c>
      <c r="Q62" s="6" t="str">
        <f>IF(OR(A62="", ISNUMBER(SEARCH("PFr", C62))), "", VLOOKUP(J62, [1]Initiated!$A:$Y, 8, 0))</f>
        <v/>
      </c>
      <c r="R62" s="5" t="str">
        <f t="shared" si="14"/>
        <v/>
      </c>
      <c r="S62" s="4" t="str">
        <f>IF(A62="","",VLOOKUP(J62,[1]Initiated!$A:$Y,3,FALSE))</f>
        <v/>
      </c>
      <c r="T62" s="4" t="str">
        <f t="shared" ca="1" si="15"/>
        <v/>
      </c>
      <c r="U62" s="5" t="str">
        <f t="shared" si="16"/>
        <v/>
      </c>
      <c r="V62" s="5" t="str">
        <f t="shared" si="17"/>
        <v/>
      </c>
      <c r="W62" s="4" t="str">
        <f>IF(A62="","",VLOOKUP(J62,[1]Initiated!$A:$Y,10,0))</f>
        <v/>
      </c>
      <c r="X62" s="5" t="str">
        <f t="shared" si="18"/>
        <v/>
      </c>
    </row>
    <row r="63" spans="1:24" x14ac:dyDescent="0.25">
      <c r="A63" s="6"/>
      <c r="B63" s="6" t="str">
        <f t="shared" si="8"/>
        <v/>
      </c>
      <c r="C63" s="6" t="str">
        <f t="shared" si="9"/>
        <v/>
      </c>
      <c r="D63" s="6"/>
      <c r="E63" s="6"/>
      <c r="F63" s="6"/>
      <c r="G63" s="6"/>
      <c r="H63" s="6" t="str">
        <f t="shared" si="10"/>
        <v/>
      </c>
      <c r="I63" s="6" t="str">
        <f t="shared" ca="1" si="11"/>
        <v/>
      </c>
      <c r="J63" s="3" t="str">
        <f t="shared" si="12"/>
        <v/>
      </c>
      <c r="K63" s="6" t="str">
        <f>IF(A63="","",VLOOKUP(J63,[1]Initiated!$A:$Y,2,0))</f>
        <v/>
      </c>
      <c r="L63" s="2" t="str">
        <f>IF(A63="","",VLOOKUP(J63,[1]Initiated!$A:$Y,5,FALSE))</f>
        <v/>
      </c>
      <c r="M63" s="6" t="str">
        <f>IF(A63="","",VLOOKUP(J63,[1]Initiated!$A:$Y,6,FALSE))</f>
        <v/>
      </c>
      <c r="N63" s="6" t="str">
        <f>IF(A63="","",VLOOKUP(J63,[1]Initiated!$A:$Y,9,FALSE))</f>
        <v/>
      </c>
      <c r="O63" s="3" t="str">
        <f t="shared" si="13"/>
        <v/>
      </c>
      <c r="P63" s="6" t="str">
        <f>IF(OR(A63="", ISNUMBER(SEARCH("PFr", C63))), "", VLOOKUP(J63, [1]Initiated!$A:$Y, 7, FALSE))</f>
        <v/>
      </c>
      <c r="Q63" s="6" t="str">
        <f>IF(OR(A63="", ISNUMBER(SEARCH("PFr", C63))), "", VLOOKUP(J63, [1]Initiated!$A:$Y, 8, 0))</f>
        <v/>
      </c>
      <c r="R63" s="5" t="str">
        <f t="shared" si="14"/>
        <v/>
      </c>
      <c r="S63" s="4" t="str">
        <f>IF(A63="","",VLOOKUP(J63,[1]Initiated!$A:$Y,3,FALSE))</f>
        <v/>
      </c>
      <c r="T63" s="4" t="str">
        <f t="shared" ca="1" si="15"/>
        <v/>
      </c>
      <c r="U63" s="5" t="str">
        <f t="shared" si="16"/>
        <v/>
      </c>
      <c r="V63" s="5" t="str">
        <f t="shared" si="17"/>
        <v/>
      </c>
      <c r="W63" s="4" t="str">
        <f>IF(A63="","",VLOOKUP(J63,[1]Initiated!$A:$Y,10,0))</f>
        <v/>
      </c>
      <c r="X63" s="5" t="str">
        <f t="shared" si="18"/>
        <v/>
      </c>
    </row>
    <row r="64" spans="1:24" x14ac:dyDescent="0.25">
      <c r="A64" s="6"/>
      <c r="B64" s="6" t="str">
        <f t="shared" si="8"/>
        <v/>
      </c>
      <c r="C64" s="6" t="str">
        <f t="shared" si="9"/>
        <v/>
      </c>
      <c r="D64" s="6"/>
      <c r="E64" s="6"/>
      <c r="F64" s="6"/>
      <c r="G64" s="6"/>
      <c r="H64" s="6" t="str">
        <f t="shared" si="10"/>
        <v/>
      </c>
      <c r="I64" s="6" t="str">
        <f t="shared" ca="1" si="11"/>
        <v/>
      </c>
      <c r="J64" s="3" t="str">
        <f t="shared" si="12"/>
        <v/>
      </c>
      <c r="K64" s="6" t="str">
        <f>IF(A64="","",VLOOKUP(J64,[1]Initiated!$A:$Y,2,0))</f>
        <v/>
      </c>
      <c r="L64" s="2" t="str">
        <f>IF(A64="","",VLOOKUP(J64,[1]Initiated!$A:$Y,5,FALSE))</f>
        <v/>
      </c>
      <c r="M64" s="6" t="str">
        <f>IF(A64="","",VLOOKUP(J64,[1]Initiated!$A:$Y,6,FALSE))</f>
        <v/>
      </c>
      <c r="N64" s="6" t="str">
        <f>IF(A64="","",VLOOKUP(J64,[1]Initiated!$A:$Y,9,FALSE))</f>
        <v/>
      </c>
      <c r="O64" s="3" t="str">
        <f t="shared" si="13"/>
        <v/>
      </c>
      <c r="P64" s="6" t="str">
        <f>IF(OR(A64="", ISNUMBER(SEARCH("PFr", C64))), "", VLOOKUP(J64, [1]Initiated!$A:$Y, 7, FALSE))</f>
        <v/>
      </c>
      <c r="Q64" s="6" t="str">
        <f>IF(OR(A64="", ISNUMBER(SEARCH("PFr", C64))), "", VLOOKUP(J64, [1]Initiated!$A:$Y, 8, 0))</f>
        <v/>
      </c>
      <c r="R64" s="5" t="str">
        <f t="shared" si="14"/>
        <v/>
      </c>
      <c r="S64" s="4" t="str">
        <f>IF(A64="","",VLOOKUP(J64,[1]Initiated!$A:$Y,3,FALSE))</f>
        <v/>
      </c>
      <c r="T64" s="4" t="str">
        <f t="shared" ca="1" si="15"/>
        <v/>
      </c>
      <c r="U64" s="5" t="str">
        <f t="shared" si="16"/>
        <v/>
      </c>
      <c r="V64" s="5" t="str">
        <f t="shared" si="17"/>
        <v/>
      </c>
      <c r="W64" s="4" t="str">
        <f>IF(A64="","",VLOOKUP(J64,[1]Initiated!$A:$Y,10,0))</f>
        <v/>
      </c>
      <c r="X64" s="5" t="str">
        <f t="shared" si="18"/>
        <v/>
      </c>
    </row>
    <row r="65" spans="1:24" x14ac:dyDescent="0.25">
      <c r="A65" s="6"/>
      <c r="B65" s="6" t="str">
        <f t="shared" si="8"/>
        <v/>
      </c>
      <c r="C65" s="6" t="str">
        <f t="shared" si="9"/>
        <v/>
      </c>
      <c r="D65" s="6"/>
      <c r="E65" s="6"/>
      <c r="F65" s="6"/>
      <c r="G65" s="6"/>
      <c r="H65" s="6" t="str">
        <f t="shared" si="10"/>
        <v/>
      </c>
      <c r="I65" s="6" t="str">
        <f t="shared" ca="1" si="11"/>
        <v/>
      </c>
      <c r="J65" s="3" t="str">
        <f t="shared" si="12"/>
        <v/>
      </c>
      <c r="K65" s="6" t="str">
        <f>IF(A65="","",VLOOKUP(J65,[1]Initiated!$A:$Y,2,0))</f>
        <v/>
      </c>
      <c r="L65" s="2" t="str">
        <f>IF(A65="","",VLOOKUP(J65,[1]Initiated!$A:$Y,5,FALSE))</f>
        <v/>
      </c>
      <c r="M65" s="6" t="str">
        <f>IF(A65="","",VLOOKUP(J65,[1]Initiated!$A:$Y,6,FALSE))</f>
        <v/>
      </c>
      <c r="N65" s="6" t="str">
        <f>IF(A65="","",VLOOKUP(J65,[1]Initiated!$A:$Y,9,FALSE))</f>
        <v/>
      </c>
      <c r="O65" s="3" t="str">
        <f t="shared" si="13"/>
        <v/>
      </c>
      <c r="P65" s="6" t="str">
        <f>IF(OR(A65="", ISNUMBER(SEARCH("PFr", C65))), "", VLOOKUP(J65, [1]Initiated!$A:$Y, 7, FALSE))</f>
        <v/>
      </c>
      <c r="Q65" s="6" t="str">
        <f>IF(OR(A65="", ISNUMBER(SEARCH("PFr", C65))), "", VLOOKUP(J65, [1]Initiated!$A:$Y, 8, 0))</f>
        <v/>
      </c>
      <c r="R65" s="5" t="str">
        <f t="shared" si="14"/>
        <v/>
      </c>
      <c r="S65" s="4" t="str">
        <f>IF(A65="","",VLOOKUP(J65,[1]Initiated!$A:$Y,3,FALSE))</f>
        <v/>
      </c>
      <c r="T65" s="4" t="str">
        <f t="shared" ca="1" si="15"/>
        <v/>
      </c>
      <c r="U65" s="5" t="str">
        <f t="shared" si="16"/>
        <v/>
      </c>
      <c r="V65" s="5" t="str">
        <f t="shared" si="17"/>
        <v/>
      </c>
      <c r="W65" s="4" t="str">
        <f>IF(A65="","",VLOOKUP(J65,[1]Initiated!$A:$Y,10,0))</f>
        <v/>
      </c>
      <c r="X65" s="5" t="str">
        <f t="shared" si="18"/>
        <v/>
      </c>
    </row>
    <row r="66" spans="1:24" x14ac:dyDescent="0.25">
      <c r="A66" s="6"/>
      <c r="B66" s="6" t="str">
        <f t="shared" si="8"/>
        <v/>
      </c>
      <c r="C66" s="6" t="str">
        <f t="shared" si="9"/>
        <v/>
      </c>
      <c r="D66" s="6"/>
      <c r="E66" s="6"/>
      <c r="F66" s="6"/>
      <c r="G66" s="6"/>
      <c r="H66" s="6" t="str">
        <f t="shared" si="10"/>
        <v/>
      </c>
      <c r="I66" s="6" t="str">
        <f t="shared" ca="1" si="11"/>
        <v/>
      </c>
      <c r="J66" s="3" t="str">
        <f t="shared" si="12"/>
        <v/>
      </c>
      <c r="K66" s="6" t="str">
        <f>IF(A66="","",VLOOKUP(J66,[1]Initiated!$A:$Y,2,0))</f>
        <v/>
      </c>
      <c r="L66" s="2" t="str">
        <f>IF(A66="","",VLOOKUP(J66,[1]Initiated!$A:$Y,5,FALSE))</f>
        <v/>
      </c>
      <c r="M66" s="6" t="str">
        <f>IF(A66="","",VLOOKUP(J66,[1]Initiated!$A:$Y,6,FALSE))</f>
        <v/>
      </c>
      <c r="N66" s="6" t="str">
        <f>IF(A66="","",VLOOKUP(J66,[1]Initiated!$A:$Y,9,FALSE))</f>
        <v/>
      </c>
      <c r="O66" s="3" t="str">
        <f t="shared" si="13"/>
        <v/>
      </c>
      <c r="P66" s="6" t="str">
        <f>IF(OR(A66="", ISNUMBER(SEARCH("PFr", C66))), "", VLOOKUP(J66, [1]Initiated!$A:$Y, 7, FALSE))</f>
        <v/>
      </c>
      <c r="Q66" s="6" t="str">
        <f>IF(OR(A66="", ISNUMBER(SEARCH("PFr", C66))), "", VLOOKUP(J66, [1]Initiated!$A:$Y, 8, 0))</f>
        <v/>
      </c>
      <c r="R66" s="5" t="str">
        <f t="shared" si="14"/>
        <v/>
      </c>
      <c r="S66" s="4" t="str">
        <f>IF(A66="","",VLOOKUP(J66,[1]Initiated!$A:$Y,3,FALSE))</f>
        <v/>
      </c>
      <c r="T66" s="4" t="str">
        <f t="shared" ca="1" si="15"/>
        <v/>
      </c>
      <c r="U66" s="5" t="str">
        <f t="shared" si="16"/>
        <v/>
      </c>
      <c r="V66" s="5" t="str">
        <f t="shared" si="17"/>
        <v/>
      </c>
      <c r="W66" s="4" t="str">
        <f>IF(A66="","",VLOOKUP(J66,[1]Initiated!$A:$Y,10,0))</f>
        <v/>
      </c>
      <c r="X66" s="5" t="str">
        <f t="shared" si="18"/>
        <v/>
      </c>
    </row>
    <row r="67" spans="1:24" x14ac:dyDescent="0.25">
      <c r="A67" s="6"/>
      <c r="B67" s="6" t="str">
        <f t="shared" ref="B67:B130" si="19">IF(A67="","",LEFT(A67,FIND(".",A67)-1))</f>
        <v/>
      </c>
      <c r="C67" s="6" t="str">
        <f t="shared" ref="C67:C130" si="20">IF(A67="","",IF(ISNUMBER(FIND(".",A67,FIND(".",A67)+1)),MID(A67,FIND(".",A67)+1,FIND(".",A67,FIND(".",A67)+1)-FIND(".",A67)-1),MID(A67,FIND(".",A67)+1,LEN(A67)-FIND(".",A67))))</f>
        <v/>
      </c>
      <c r="D67" s="6"/>
      <c r="E67" s="6"/>
      <c r="F67" s="6"/>
      <c r="G67" s="6"/>
      <c r="H67" s="6" t="str">
        <f t="shared" ref="H67:H130" si="21">IF(A67="","","*SS OK Only")</f>
        <v/>
      </c>
      <c r="I67" s="6" t="str">
        <f t="shared" ref="I67:I130" ca="1" si="22">IF(A67="","",B67&amp;" "&amp;K67&amp;" in "&amp;M67&amp;" "&amp;TEXT(TODAY(),"yyyy-mm-dd")&amp;" "&amp;C67)</f>
        <v/>
      </c>
      <c r="J67" s="3" t="str">
        <f t="shared" ref="J67:J130" si="23">IF(A67="","",B67)</f>
        <v/>
      </c>
      <c r="K67" s="6" t="str">
        <f>IF(A67="","",VLOOKUP(J67,[1]Initiated!$A:$Y,2,0))</f>
        <v/>
      </c>
      <c r="L67" s="2" t="str">
        <f>IF(A67="","",VLOOKUP(J67,[1]Initiated!$A:$Y,5,FALSE))</f>
        <v/>
      </c>
      <c r="M67" s="6" t="str">
        <f>IF(A67="","",VLOOKUP(J67,[1]Initiated!$A:$Y,6,FALSE))</f>
        <v/>
      </c>
      <c r="N67" s="6" t="str">
        <f>IF(A67="","",VLOOKUP(J67,[1]Initiated!$A:$Y,9,FALSE))</f>
        <v/>
      </c>
      <c r="O67" s="3" t="str">
        <f t="shared" ref="O67:O130" si="24">IF(A67="","",C67)</f>
        <v/>
      </c>
      <c r="P67" s="6" t="str">
        <f>IF(OR(A67="", ISNUMBER(SEARCH("PFr", C67))), "", VLOOKUP(J67, [1]Initiated!$A:$Y, 7, FALSE))</f>
        <v/>
      </c>
      <c r="Q67" s="6" t="str">
        <f>IF(OR(A67="", ISNUMBER(SEARCH("PFr", C67))), "", VLOOKUP(J67, [1]Initiated!$A:$Y, 8, 0))</f>
        <v/>
      </c>
      <c r="R67" s="5" t="str">
        <f t="shared" ref="R67:R130" si="25">IF(OR(C67="", ISNUMBER(SEARCH("PFr", C67))), "", IF(ISNUMBER(SEARCH("16C", C67)), "16°C", IF(ISNUMBER(SEARCH("22C", C67)), "22°C", IF(ISNUMBER(SEARCH("25C", C67)), "25°C", IF(ISNUMBER(SEARCH("30C", C67)), "30°C", "37°C")))))</f>
        <v/>
      </c>
      <c r="S67" s="4" t="str">
        <f>IF(A67="","",VLOOKUP(J67,[1]Initiated!$A:$Y,3,FALSE))</f>
        <v/>
      </c>
      <c r="T67" s="4" t="str">
        <f t="shared" ref="T67:T130" ca="1" si="26">IF(A67="","",TODAY())</f>
        <v/>
      </c>
      <c r="U67" s="5" t="str">
        <f t="shared" ref="U67:U130" si="27">IF(A67="","","-20°C")</f>
        <v/>
      </c>
      <c r="V67" s="5" t="str">
        <f t="shared" ref="V67:V130" si="28">IF(OR(C67="", ISNUMBER(SEARCH("PFr", C67))), "", IF(ISNUMBER(SEARCH("Stbl", C67)), "Stable", "Top10"))</f>
        <v/>
      </c>
      <c r="W67" s="4" t="str">
        <f>IF(A67="","",VLOOKUP(J67,[1]Initiated!$A:$Y,10,0))</f>
        <v/>
      </c>
      <c r="X67" s="5" t="str">
        <f t="shared" ref="X67:X130" si="29">IF(OR(A67="", ISNUMBER(SEARCH("PFr", C67))), "", "E. coli")</f>
        <v/>
      </c>
    </row>
    <row r="68" spans="1:24" x14ac:dyDescent="0.25">
      <c r="A68" s="6"/>
      <c r="B68" s="6" t="str">
        <f t="shared" si="19"/>
        <v/>
      </c>
      <c r="C68" s="6" t="str">
        <f t="shared" si="20"/>
        <v/>
      </c>
      <c r="D68" s="6"/>
      <c r="E68" s="6"/>
      <c r="F68" s="6"/>
      <c r="G68" s="6"/>
      <c r="H68" s="6" t="str">
        <f t="shared" si="21"/>
        <v/>
      </c>
      <c r="I68" s="6" t="str">
        <f t="shared" ca="1" si="22"/>
        <v/>
      </c>
      <c r="J68" s="3" t="str">
        <f t="shared" si="23"/>
        <v/>
      </c>
      <c r="K68" s="6" t="str">
        <f>IF(A68="","",VLOOKUP(J68,[1]Initiated!$A:$Y,2,0))</f>
        <v/>
      </c>
      <c r="L68" s="2" t="str">
        <f>IF(A68="","",VLOOKUP(J68,[1]Initiated!$A:$Y,5,FALSE))</f>
        <v/>
      </c>
      <c r="M68" s="6" t="str">
        <f>IF(A68="","",VLOOKUP(J68,[1]Initiated!$A:$Y,6,FALSE))</f>
        <v/>
      </c>
      <c r="N68" s="6" t="str">
        <f>IF(A68="","",VLOOKUP(J68,[1]Initiated!$A:$Y,9,FALSE))</f>
        <v/>
      </c>
      <c r="O68" s="3" t="str">
        <f t="shared" si="24"/>
        <v/>
      </c>
      <c r="P68" s="6" t="str">
        <f>IF(OR(A68="", ISNUMBER(SEARCH("PFr", C68))), "", VLOOKUP(J68, [1]Initiated!$A:$Y, 7, FALSE))</f>
        <v/>
      </c>
      <c r="Q68" s="6" t="str">
        <f>IF(OR(A68="", ISNUMBER(SEARCH("PFr", C68))), "", VLOOKUP(J68, [1]Initiated!$A:$Y, 8, 0))</f>
        <v/>
      </c>
      <c r="R68" s="5" t="str">
        <f t="shared" si="25"/>
        <v/>
      </c>
      <c r="S68" s="4" t="str">
        <f>IF(A68="","",VLOOKUP(J68,[1]Initiated!$A:$Y,3,FALSE))</f>
        <v/>
      </c>
      <c r="T68" s="4" t="str">
        <f t="shared" ca="1" si="26"/>
        <v/>
      </c>
      <c r="U68" s="5" t="str">
        <f t="shared" si="27"/>
        <v/>
      </c>
      <c r="V68" s="5" t="str">
        <f t="shared" si="28"/>
        <v/>
      </c>
      <c r="W68" s="4" t="str">
        <f>IF(A68="","",VLOOKUP(J68,[1]Initiated!$A:$Y,10,0))</f>
        <v/>
      </c>
      <c r="X68" s="5" t="str">
        <f t="shared" si="29"/>
        <v/>
      </c>
    </row>
    <row r="69" spans="1:24" x14ac:dyDescent="0.25">
      <c r="A69" s="6"/>
      <c r="B69" s="6" t="str">
        <f t="shared" si="19"/>
        <v/>
      </c>
      <c r="C69" s="6" t="str">
        <f t="shared" si="20"/>
        <v/>
      </c>
      <c r="D69" s="6"/>
      <c r="E69" s="6"/>
      <c r="F69" s="6"/>
      <c r="G69" s="6"/>
      <c r="H69" s="6" t="str">
        <f t="shared" si="21"/>
        <v/>
      </c>
      <c r="I69" s="6" t="str">
        <f t="shared" ca="1" si="22"/>
        <v/>
      </c>
      <c r="J69" s="3" t="str">
        <f t="shared" si="23"/>
        <v/>
      </c>
      <c r="K69" s="6" t="str">
        <f>IF(A69="","",VLOOKUP(J69,[1]Initiated!$A:$Y,2,0))</f>
        <v/>
      </c>
      <c r="L69" s="2" t="str">
        <f>IF(A69="","",VLOOKUP(J69,[1]Initiated!$A:$Y,5,FALSE))</f>
        <v/>
      </c>
      <c r="M69" s="6" t="str">
        <f>IF(A69="","",VLOOKUP(J69,[1]Initiated!$A:$Y,6,FALSE))</f>
        <v/>
      </c>
      <c r="N69" s="6" t="str">
        <f>IF(A69="","",VLOOKUP(J69,[1]Initiated!$A:$Y,9,FALSE))</f>
        <v/>
      </c>
      <c r="O69" s="3" t="str">
        <f t="shared" si="24"/>
        <v/>
      </c>
      <c r="P69" s="6" t="str">
        <f>IF(OR(A69="", ISNUMBER(SEARCH("PFr", C69))), "", VLOOKUP(J69, [1]Initiated!$A:$Y, 7, FALSE))</f>
        <v/>
      </c>
      <c r="Q69" s="6" t="str">
        <f>IF(OR(A69="", ISNUMBER(SEARCH("PFr", C69))), "", VLOOKUP(J69, [1]Initiated!$A:$Y, 8, 0))</f>
        <v/>
      </c>
      <c r="R69" s="5" t="str">
        <f t="shared" si="25"/>
        <v/>
      </c>
      <c r="S69" s="4" t="str">
        <f>IF(A69="","",VLOOKUP(J69,[1]Initiated!$A:$Y,3,FALSE))</f>
        <v/>
      </c>
      <c r="T69" s="4" t="str">
        <f t="shared" ca="1" si="26"/>
        <v/>
      </c>
      <c r="U69" s="5" t="str">
        <f t="shared" si="27"/>
        <v/>
      </c>
      <c r="V69" s="5" t="str">
        <f t="shared" si="28"/>
        <v/>
      </c>
      <c r="W69" s="4" t="str">
        <f>IF(A69="","",VLOOKUP(J69,[1]Initiated!$A:$Y,10,0))</f>
        <v/>
      </c>
      <c r="X69" s="5" t="str">
        <f t="shared" si="29"/>
        <v/>
      </c>
    </row>
    <row r="70" spans="1:24" x14ac:dyDescent="0.25">
      <c r="A70" s="6"/>
      <c r="B70" s="6" t="str">
        <f t="shared" si="19"/>
        <v/>
      </c>
      <c r="C70" s="6" t="str">
        <f t="shared" si="20"/>
        <v/>
      </c>
      <c r="D70" s="6"/>
      <c r="E70" s="6"/>
      <c r="F70" s="6"/>
      <c r="G70" s="6"/>
      <c r="H70" s="6" t="str">
        <f t="shared" si="21"/>
        <v/>
      </c>
      <c r="I70" s="6" t="str">
        <f t="shared" ca="1" si="22"/>
        <v/>
      </c>
      <c r="J70" s="3" t="str">
        <f t="shared" si="23"/>
        <v/>
      </c>
      <c r="K70" s="6" t="str">
        <f>IF(A70="","",VLOOKUP(J70,[1]Initiated!$A:$Y,2,0))</f>
        <v/>
      </c>
      <c r="L70" s="2" t="str">
        <f>IF(A70="","",VLOOKUP(J70,[1]Initiated!$A:$Y,5,FALSE))</f>
        <v/>
      </c>
      <c r="M70" s="6" t="str">
        <f>IF(A70="","",VLOOKUP(J70,[1]Initiated!$A:$Y,6,FALSE))</f>
        <v/>
      </c>
      <c r="N70" s="6" t="str">
        <f>IF(A70="","",VLOOKUP(J70,[1]Initiated!$A:$Y,9,FALSE))</f>
        <v/>
      </c>
      <c r="O70" s="3" t="str">
        <f t="shared" si="24"/>
        <v/>
      </c>
      <c r="P70" s="6" t="str">
        <f>IF(OR(A70="", ISNUMBER(SEARCH("PFr", C70))), "", VLOOKUP(J70, [1]Initiated!$A:$Y, 7, FALSE))</f>
        <v/>
      </c>
      <c r="Q70" s="6" t="str">
        <f>IF(OR(A70="", ISNUMBER(SEARCH("PFr", C70))), "", VLOOKUP(J70, [1]Initiated!$A:$Y, 8, 0))</f>
        <v/>
      </c>
      <c r="R70" s="5" t="str">
        <f t="shared" si="25"/>
        <v/>
      </c>
      <c r="S70" s="4" t="str">
        <f>IF(A70="","",VLOOKUP(J70,[1]Initiated!$A:$Y,3,FALSE))</f>
        <v/>
      </c>
      <c r="T70" s="4" t="str">
        <f t="shared" ca="1" si="26"/>
        <v/>
      </c>
      <c r="U70" s="5" t="str">
        <f t="shared" si="27"/>
        <v/>
      </c>
      <c r="V70" s="5" t="str">
        <f t="shared" si="28"/>
        <v/>
      </c>
      <c r="W70" s="4" t="str">
        <f>IF(A70="","",VLOOKUP(J70,[1]Initiated!$A:$Y,10,0))</f>
        <v/>
      </c>
      <c r="X70" s="5" t="str">
        <f t="shared" si="29"/>
        <v/>
      </c>
    </row>
    <row r="71" spans="1:24" x14ac:dyDescent="0.25">
      <c r="A71" s="6"/>
      <c r="B71" s="6" t="str">
        <f t="shared" si="19"/>
        <v/>
      </c>
      <c r="C71" s="6" t="str">
        <f t="shared" si="20"/>
        <v/>
      </c>
      <c r="D71" s="6"/>
      <c r="E71" s="6"/>
      <c r="F71" s="6"/>
      <c r="G71" s="6"/>
      <c r="H71" s="6" t="str">
        <f t="shared" si="21"/>
        <v/>
      </c>
      <c r="I71" s="6" t="str">
        <f t="shared" ca="1" si="22"/>
        <v/>
      </c>
      <c r="J71" s="3" t="str">
        <f t="shared" si="23"/>
        <v/>
      </c>
      <c r="K71" s="6" t="str">
        <f>IF(A71="","",VLOOKUP(J71,[1]Initiated!$A:$Y,2,0))</f>
        <v/>
      </c>
      <c r="L71" s="2" t="str">
        <f>IF(A71="","",VLOOKUP(J71,[1]Initiated!$A:$Y,5,FALSE))</f>
        <v/>
      </c>
      <c r="M71" s="6" t="str">
        <f>IF(A71="","",VLOOKUP(J71,[1]Initiated!$A:$Y,6,FALSE))</f>
        <v/>
      </c>
      <c r="N71" s="6" t="str">
        <f>IF(A71="","",VLOOKUP(J71,[1]Initiated!$A:$Y,9,FALSE))</f>
        <v/>
      </c>
      <c r="O71" s="3" t="str">
        <f t="shared" si="24"/>
        <v/>
      </c>
      <c r="P71" s="6" t="str">
        <f>IF(OR(A71="", ISNUMBER(SEARCH("PFr", C71))), "", VLOOKUP(J71, [1]Initiated!$A:$Y, 7, FALSE))</f>
        <v/>
      </c>
      <c r="Q71" s="6" t="str">
        <f>IF(OR(A71="", ISNUMBER(SEARCH("PFr", C71))), "", VLOOKUP(J71, [1]Initiated!$A:$Y, 8, 0))</f>
        <v/>
      </c>
      <c r="R71" s="5" t="str">
        <f t="shared" si="25"/>
        <v/>
      </c>
      <c r="S71" s="4" t="str">
        <f>IF(A71="","",VLOOKUP(J71,[1]Initiated!$A:$Y,3,FALSE))</f>
        <v/>
      </c>
      <c r="T71" s="4" t="str">
        <f t="shared" ca="1" si="26"/>
        <v/>
      </c>
      <c r="U71" s="5" t="str">
        <f t="shared" si="27"/>
        <v/>
      </c>
      <c r="V71" s="5" t="str">
        <f t="shared" si="28"/>
        <v/>
      </c>
      <c r="W71" s="4" t="str">
        <f>IF(A71="","",VLOOKUP(J71,[1]Initiated!$A:$Y,10,0))</f>
        <v/>
      </c>
      <c r="X71" s="5" t="str">
        <f t="shared" si="29"/>
        <v/>
      </c>
    </row>
    <row r="72" spans="1:24" x14ac:dyDescent="0.25">
      <c r="A72" s="6"/>
      <c r="B72" s="6" t="str">
        <f t="shared" si="19"/>
        <v/>
      </c>
      <c r="C72" s="6" t="str">
        <f t="shared" si="20"/>
        <v/>
      </c>
      <c r="D72" s="6"/>
      <c r="E72" s="6"/>
      <c r="F72" s="6"/>
      <c r="G72" s="6"/>
      <c r="H72" s="6" t="str">
        <f t="shared" si="21"/>
        <v/>
      </c>
      <c r="I72" s="6" t="str">
        <f t="shared" ca="1" si="22"/>
        <v/>
      </c>
      <c r="J72" s="3" t="str">
        <f t="shared" si="23"/>
        <v/>
      </c>
      <c r="K72" s="6" t="str">
        <f>IF(A72="","",VLOOKUP(J72,[1]Initiated!$A:$Y,2,0))</f>
        <v/>
      </c>
      <c r="L72" s="2" t="str">
        <f>IF(A72="","",VLOOKUP(J72,[1]Initiated!$A:$Y,5,FALSE))</f>
        <v/>
      </c>
      <c r="M72" s="6" t="str">
        <f>IF(A72="","",VLOOKUP(J72,[1]Initiated!$A:$Y,6,FALSE))</f>
        <v/>
      </c>
      <c r="N72" s="6" t="str">
        <f>IF(A72="","",VLOOKUP(J72,[1]Initiated!$A:$Y,9,FALSE))</f>
        <v/>
      </c>
      <c r="O72" s="3" t="str">
        <f t="shared" si="24"/>
        <v/>
      </c>
      <c r="P72" s="6" t="str">
        <f>IF(OR(A72="", ISNUMBER(SEARCH("PFr", C72))), "", VLOOKUP(J72, [1]Initiated!$A:$Y, 7, FALSE))</f>
        <v/>
      </c>
      <c r="Q72" s="6" t="str">
        <f>IF(OR(A72="", ISNUMBER(SEARCH("PFr", C72))), "", VLOOKUP(J72, [1]Initiated!$A:$Y, 8, 0))</f>
        <v/>
      </c>
      <c r="R72" s="5" t="str">
        <f t="shared" si="25"/>
        <v/>
      </c>
      <c r="S72" s="4" t="str">
        <f>IF(A72="","",VLOOKUP(J72,[1]Initiated!$A:$Y,3,FALSE))</f>
        <v/>
      </c>
      <c r="T72" s="4" t="str">
        <f t="shared" ca="1" si="26"/>
        <v/>
      </c>
      <c r="U72" s="5" t="str">
        <f t="shared" si="27"/>
        <v/>
      </c>
      <c r="V72" s="5" t="str">
        <f t="shared" si="28"/>
        <v/>
      </c>
      <c r="W72" s="4" t="str">
        <f>IF(A72="","",VLOOKUP(J72,[1]Initiated!$A:$Y,10,0))</f>
        <v/>
      </c>
      <c r="X72" s="5" t="str">
        <f t="shared" si="29"/>
        <v/>
      </c>
    </row>
    <row r="73" spans="1:24" x14ac:dyDescent="0.25">
      <c r="A73" s="6"/>
      <c r="B73" s="6" t="str">
        <f t="shared" si="19"/>
        <v/>
      </c>
      <c r="C73" s="6" t="str">
        <f t="shared" si="20"/>
        <v/>
      </c>
      <c r="D73" s="6"/>
      <c r="E73" s="6"/>
      <c r="F73" s="6"/>
      <c r="G73" s="6"/>
      <c r="H73" s="6" t="str">
        <f t="shared" si="21"/>
        <v/>
      </c>
      <c r="I73" s="6" t="str">
        <f t="shared" ca="1" si="22"/>
        <v/>
      </c>
      <c r="J73" s="3" t="str">
        <f t="shared" si="23"/>
        <v/>
      </c>
      <c r="K73" s="6" t="str">
        <f>IF(A73="","",VLOOKUP(J73,[1]Initiated!$A:$Y,2,0))</f>
        <v/>
      </c>
      <c r="L73" s="2" t="str">
        <f>IF(A73="","",VLOOKUP(J73,[1]Initiated!$A:$Y,5,FALSE))</f>
        <v/>
      </c>
      <c r="M73" s="6" t="str">
        <f>IF(A73="","",VLOOKUP(J73,[1]Initiated!$A:$Y,6,FALSE))</f>
        <v/>
      </c>
      <c r="N73" s="6" t="str">
        <f>IF(A73="","",VLOOKUP(J73,[1]Initiated!$A:$Y,9,FALSE))</f>
        <v/>
      </c>
      <c r="O73" s="3" t="str">
        <f t="shared" si="24"/>
        <v/>
      </c>
      <c r="P73" s="6" t="str">
        <f>IF(OR(A73="", ISNUMBER(SEARCH("PFr", C73))), "", VLOOKUP(J73, [1]Initiated!$A:$Y, 7, FALSE))</f>
        <v/>
      </c>
      <c r="Q73" s="6" t="str">
        <f>IF(OR(A73="", ISNUMBER(SEARCH("PFr", C73))), "", VLOOKUP(J73, [1]Initiated!$A:$Y, 8, 0))</f>
        <v/>
      </c>
      <c r="R73" s="5" t="str">
        <f t="shared" si="25"/>
        <v/>
      </c>
      <c r="S73" s="4" t="str">
        <f>IF(A73="","",VLOOKUP(J73,[1]Initiated!$A:$Y,3,FALSE))</f>
        <v/>
      </c>
      <c r="T73" s="4" t="str">
        <f t="shared" ca="1" si="26"/>
        <v/>
      </c>
      <c r="U73" s="5" t="str">
        <f t="shared" si="27"/>
        <v/>
      </c>
      <c r="V73" s="5" t="str">
        <f t="shared" si="28"/>
        <v/>
      </c>
      <c r="W73" s="4" t="str">
        <f>IF(A73="","",VLOOKUP(J73,[1]Initiated!$A:$Y,10,0))</f>
        <v/>
      </c>
      <c r="X73" s="5" t="str">
        <f t="shared" si="29"/>
        <v/>
      </c>
    </row>
    <row r="74" spans="1:24" x14ac:dyDescent="0.25">
      <c r="A74" s="6"/>
      <c r="B74" s="6" t="str">
        <f t="shared" si="19"/>
        <v/>
      </c>
      <c r="C74" s="6" t="str">
        <f t="shared" si="20"/>
        <v/>
      </c>
      <c r="D74" s="6"/>
      <c r="E74" s="6"/>
      <c r="F74" s="6"/>
      <c r="G74" s="6"/>
      <c r="H74" s="6" t="str">
        <f t="shared" si="21"/>
        <v/>
      </c>
      <c r="I74" s="6" t="str">
        <f t="shared" ca="1" si="22"/>
        <v/>
      </c>
      <c r="J74" s="3" t="str">
        <f t="shared" si="23"/>
        <v/>
      </c>
      <c r="K74" s="6" t="str">
        <f>IF(A74="","",VLOOKUP(J74,[1]Initiated!$A:$Y,2,0))</f>
        <v/>
      </c>
      <c r="L74" s="2" t="str">
        <f>IF(A74="","",VLOOKUP(J74,[1]Initiated!$A:$Y,5,FALSE))</f>
        <v/>
      </c>
      <c r="M74" s="6" t="str">
        <f>IF(A74="","",VLOOKUP(J74,[1]Initiated!$A:$Y,6,FALSE))</f>
        <v/>
      </c>
      <c r="N74" s="6" t="str">
        <f>IF(A74="","",VLOOKUP(J74,[1]Initiated!$A:$Y,9,FALSE))</f>
        <v/>
      </c>
      <c r="O74" s="3" t="str">
        <f t="shared" si="24"/>
        <v/>
      </c>
      <c r="P74" s="6" t="str">
        <f>IF(OR(A74="", ISNUMBER(SEARCH("PFr", C74))), "", VLOOKUP(J74, [1]Initiated!$A:$Y, 7, FALSE))</f>
        <v/>
      </c>
      <c r="Q74" s="6" t="str">
        <f>IF(OR(A74="", ISNUMBER(SEARCH("PFr", C74))), "", VLOOKUP(J74, [1]Initiated!$A:$Y, 8, 0))</f>
        <v/>
      </c>
      <c r="R74" s="5" t="str">
        <f t="shared" si="25"/>
        <v/>
      </c>
      <c r="S74" s="4" t="str">
        <f>IF(A74="","",VLOOKUP(J74,[1]Initiated!$A:$Y,3,FALSE))</f>
        <v/>
      </c>
      <c r="T74" s="4" t="str">
        <f t="shared" ca="1" si="26"/>
        <v/>
      </c>
      <c r="U74" s="5" t="str">
        <f t="shared" si="27"/>
        <v/>
      </c>
      <c r="V74" s="5" t="str">
        <f t="shared" si="28"/>
        <v/>
      </c>
      <c r="W74" s="4" t="str">
        <f>IF(A74="","",VLOOKUP(J74,[1]Initiated!$A:$Y,10,0))</f>
        <v/>
      </c>
      <c r="X74" s="5" t="str">
        <f t="shared" si="29"/>
        <v/>
      </c>
    </row>
    <row r="75" spans="1:24" x14ac:dyDescent="0.25">
      <c r="A75" s="6"/>
      <c r="B75" s="6" t="str">
        <f t="shared" si="19"/>
        <v/>
      </c>
      <c r="C75" s="6" t="str">
        <f t="shared" si="20"/>
        <v/>
      </c>
      <c r="D75" s="6"/>
      <c r="E75" s="6"/>
      <c r="F75" s="6"/>
      <c r="G75" s="6"/>
      <c r="H75" s="6" t="str">
        <f t="shared" si="21"/>
        <v/>
      </c>
      <c r="I75" s="6" t="str">
        <f t="shared" ca="1" si="22"/>
        <v/>
      </c>
      <c r="J75" s="3" t="str">
        <f t="shared" si="23"/>
        <v/>
      </c>
      <c r="K75" s="6" t="str">
        <f>IF(A75="","",VLOOKUP(J75,[1]Initiated!$A:$Y,2,0))</f>
        <v/>
      </c>
      <c r="L75" s="2" t="str">
        <f>IF(A75="","",VLOOKUP(J75,[1]Initiated!$A:$Y,5,FALSE))</f>
        <v/>
      </c>
      <c r="M75" s="6" t="str">
        <f>IF(A75="","",VLOOKUP(J75,[1]Initiated!$A:$Y,6,FALSE))</f>
        <v/>
      </c>
      <c r="N75" s="6" t="str">
        <f>IF(A75="","",VLOOKUP(J75,[1]Initiated!$A:$Y,9,FALSE))</f>
        <v/>
      </c>
      <c r="O75" s="3" t="str">
        <f t="shared" si="24"/>
        <v/>
      </c>
      <c r="P75" s="6" t="str">
        <f>IF(OR(A75="", ISNUMBER(SEARCH("PFr", C75))), "", VLOOKUP(J75, [1]Initiated!$A:$Y, 7, FALSE))</f>
        <v/>
      </c>
      <c r="Q75" s="6" t="str">
        <f>IF(OR(A75="", ISNUMBER(SEARCH("PFr", C75))), "", VLOOKUP(J75, [1]Initiated!$A:$Y, 8, 0))</f>
        <v/>
      </c>
      <c r="R75" s="5" t="str">
        <f t="shared" si="25"/>
        <v/>
      </c>
      <c r="S75" s="4" t="str">
        <f>IF(A75="","",VLOOKUP(J75,[1]Initiated!$A:$Y,3,FALSE))</f>
        <v/>
      </c>
      <c r="T75" s="4" t="str">
        <f t="shared" ca="1" si="26"/>
        <v/>
      </c>
      <c r="U75" s="5" t="str">
        <f t="shared" si="27"/>
        <v/>
      </c>
      <c r="V75" s="5" t="str">
        <f t="shared" si="28"/>
        <v/>
      </c>
      <c r="W75" s="4" t="str">
        <f>IF(A75="","",VLOOKUP(J75,[1]Initiated!$A:$Y,10,0))</f>
        <v/>
      </c>
      <c r="X75" s="5" t="str">
        <f t="shared" si="29"/>
        <v/>
      </c>
    </row>
    <row r="76" spans="1:24" x14ac:dyDescent="0.25">
      <c r="A76" s="6"/>
      <c r="B76" s="6" t="str">
        <f t="shared" si="19"/>
        <v/>
      </c>
      <c r="C76" s="6" t="str">
        <f t="shared" si="20"/>
        <v/>
      </c>
      <c r="D76" s="6"/>
      <c r="E76" s="6"/>
      <c r="F76" s="6"/>
      <c r="G76" s="6"/>
      <c r="H76" s="6" t="str">
        <f t="shared" si="21"/>
        <v/>
      </c>
      <c r="I76" s="6" t="str">
        <f t="shared" ca="1" si="22"/>
        <v/>
      </c>
      <c r="J76" s="3" t="str">
        <f t="shared" si="23"/>
        <v/>
      </c>
      <c r="K76" s="6" t="str">
        <f>IF(A76="","",VLOOKUP(J76,[1]Initiated!$A:$Y,2,0))</f>
        <v/>
      </c>
      <c r="L76" s="2" t="str">
        <f>IF(A76="","",VLOOKUP(J76,[1]Initiated!$A:$Y,5,FALSE))</f>
        <v/>
      </c>
      <c r="M76" s="6" t="str">
        <f>IF(A76="","",VLOOKUP(J76,[1]Initiated!$A:$Y,6,FALSE))</f>
        <v/>
      </c>
      <c r="N76" s="6" t="str">
        <f>IF(A76="","",VLOOKUP(J76,[1]Initiated!$A:$Y,9,FALSE))</f>
        <v/>
      </c>
      <c r="O76" s="3" t="str">
        <f t="shared" si="24"/>
        <v/>
      </c>
      <c r="P76" s="6" t="str">
        <f>IF(OR(A76="", ISNUMBER(SEARCH("PFr", C76))), "", VLOOKUP(J76, [1]Initiated!$A:$Y, 7, FALSE))</f>
        <v/>
      </c>
      <c r="Q76" s="6" t="str">
        <f>IF(OR(A76="", ISNUMBER(SEARCH("PFr", C76))), "", VLOOKUP(J76, [1]Initiated!$A:$Y, 8, 0))</f>
        <v/>
      </c>
      <c r="R76" s="5" t="str">
        <f t="shared" si="25"/>
        <v/>
      </c>
      <c r="S76" s="4" t="str">
        <f>IF(A76="","",VLOOKUP(J76,[1]Initiated!$A:$Y,3,FALSE))</f>
        <v/>
      </c>
      <c r="T76" s="4" t="str">
        <f t="shared" ca="1" si="26"/>
        <v/>
      </c>
      <c r="U76" s="5" t="str">
        <f t="shared" si="27"/>
        <v/>
      </c>
      <c r="V76" s="5" t="str">
        <f t="shared" si="28"/>
        <v/>
      </c>
      <c r="W76" s="4" t="str">
        <f>IF(A76="","",VLOOKUP(J76,[1]Initiated!$A:$Y,10,0))</f>
        <v/>
      </c>
      <c r="X76" s="5" t="str">
        <f t="shared" si="29"/>
        <v/>
      </c>
    </row>
    <row r="77" spans="1:24" x14ac:dyDescent="0.25">
      <c r="A77" s="6"/>
      <c r="B77" s="6" t="str">
        <f t="shared" si="19"/>
        <v/>
      </c>
      <c r="C77" s="6" t="str">
        <f t="shared" si="20"/>
        <v/>
      </c>
      <c r="D77" s="6"/>
      <c r="E77" s="6"/>
      <c r="F77" s="6"/>
      <c r="G77" s="6"/>
      <c r="H77" s="6" t="str">
        <f t="shared" si="21"/>
        <v/>
      </c>
      <c r="I77" s="6" t="str">
        <f t="shared" ca="1" si="22"/>
        <v/>
      </c>
      <c r="J77" s="3" t="str">
        <f t="shared" si="23"/>
        <v/>
      </c>
      <c r="K77" s="6" t="str">
        <f>IF(A77="","",VLOOKUP(J77,[1]Initiated!$A:$Y,2,0))</f>
        <v/>
      </c>
      <c r="L77" s="2" t="str">
        <f>IF(A77="","",VLOOKUP(J77,[1]Initiated!$A:$Y,5,FALSE))</f>
        <v/>
      </c>
      <c r="M77" s="6" t="str">
        <f>IF(A77="","",VLOOKUP(J77,[1]Initiated!$A:$Y,6,FALSE))</f>
        <v/>
      </c>
      <c r="N77" s="6" t="str">
        <f>IF(A77="","",VLOOKUP(J77,[1]Initiated!$A:$Y,9,FALSE))</f>
        <v/>
      </c>
      <c r="O77" s="3" t="str">
        <f t="shared" si="24"/>
        <v/>
      </c>
      <c r="P77" s="6" t="str">
        <f>IF(OR(A77="", ISNUMBER(SEARCH("PFr", C77))), "", VLOOKUP(J77, [1]Initiated!$A:$Y, 7, FALSE))</f>
        <v/>
      </c>
      <c r="Q77" s="6" t="str">
        <f>IF(OR(A77="", ISNUMBER(SEARCH("PFr", C77))), "", VLOOKUP(J77, [1]Initiated!$A:$Y, 8, 0))</f>
        <v/>
      </c>
      <c r="R77" s="5" t="str">
        <f t="shared" si="25"/>
        <v/>
      </c>
      <c r="S77" s="4" t="str">
        <f>IF(A77="","",VLOOKUP(J77,[1]Initiated!$A:$Y,3,FALSE))</f>
        <v/>
      </c>
      <c r="T77" s="4" t="str">
        <f t="shared" ca="1" si="26"/>
        <v/>
      </c>
      <c r="U77" s="5" t="str">
        <f t="shared" si="27"/>
        <v/>
      </c>
      <c r="V77" s="5" t="str">
        <f t="shared" si="28"/>
        <v/>
      </c>
      <c r="W77" s="4" t="str">
        <f>IF(A77="","",VLOOKUP(J77,[1]Initiated!$A:$Y,10,0))</f>
        <v/>
      </c>
      <c r="X77" s="5" t="str">
        <f t="shared" si="29"/>
        <v/>
      </c>
    </row>
    <row r="78" spans="1:24" x14ac:dyDescent="0.25">
      <c r="A78" s="6"/>
      <c r="B78" s="6" t="str">
        <f t="shared" si="19"/>
        <v/>
      </c>
      <c r="C78" s="6" t="str">
        <f t="shared" si="20"/>
        <v/>
      </c>
      <c r="D78" s="6"/>
      <c r="E78" s="6"/>
      <c r="F78" s="6"/>
      <c r="G78" s="6"/>
      <c r="H78" s="6" t="str">
        <f t="shared" si="21"/>
        <v/>
      </c>
      <c r="I78" s="6" t="str">
        <f t="shared" ca="1" si="22"/>
        <v/>
      </c>
      <c r="J78" s="3" t="str">
        <f t="shared" si="23"/>
        <v/>
      </c>
      <c r="K78" s="6" t="str">
        <f>IF(A78="","",VLOOKUP(J78,[1]Initiated!$A:$Y,2,0))</f>
        <v/>
      </c>
      <c r="L78" s="2" t="str">
        <f>IF(A78="","",VLOOKUP(J78,[1]Initiated!$A:$Y,5,FALSE))</f>
        <v/>
      </c>
      <c r="M78" s="6" t="str">
        <f>IF(A78="","",VLOOKUP(J78,[1]Initiated!$A:$Y,6,FALSE))</f>
        <v/>
      </c>
      <c r="N78" s="6" t="str">
        <f>IF(A78="","",VLOOKUP(J78,[1]Initiated!$A:$Y,9,FALSE))</f>
        <v/>
      </c>
      <c r="O78" s="3" t="str">
        <f t="shared" si="24"/>
        <v/>
      </c>
      <c r="P78" s="6" t="str">
        <f>IF(OR(A78="", ISNUMBER(SEARCH("PFr", C78))), "", VLOOKUP(J78, [1]Initiated!$A:$Y, 7, FALSE))</f>
        <v/>
      </c>
      <c r="Q78" s="6" t="str">
        <f>IF(OR(A78="", ISNUMBER(SEARCH("PFr", C78))), "", VLOOKUP(J78, [1]Initiated!$A:$Y, 8, 0))</f>
        <v/>
      </c>
      <c r="R78" s="5" t="str">
        <f t="shared" si="25"/>
        <v/>
      </c>
      <c r="S78" s="4" t="str">
        <f>IF(A78="","",VLOOKUP(J78,[1]Initiated!$A:$Y,3,FALSE))</f>
        <v/>
      </c>
      <c r="T78" s="4" t="str">
        <f t="shared" ca="1" si="26"/>
        <v/>
      </c>
      <c r="U78" s="5" t="str">
        <f t="shared" si="27"/>
        <v/>
      </c>
      <c r="V78" s="5" t="str">
        <f t="shared" si="28"/>
        <v/>
      </c>
      <c r="W78" s="4" t="str">
        <f>IF(A78="","",VLOOKUP(J78,[1]Initiated!$A:$Y,10,0))</f>
        <v/>
      </c>
      <c r="X78" s="5" t="str">
        <f t="shared" si="29"/>
        <v/>
      </c>
    </row>
    <row r="79" spans="1:24" x14ac:dyDescent="0.25">
      <c r="A79" s="6"/>
      <c r="B79" s="6" t="str">
        <f t="shared" si="19"/>
        <v/>
      </c>
      <c r="C79" s="6" t="str">
        <f t="shared" si="20"/>
        <v/>
      </c>
      <c r="D79" s="6"/>
      <c r="E79" s="6"/>
      <c r="F79" s="6"/>
      <c r="G79" s="6"/>
      <c r="H79" s="6" t="str">
        <f t="shared" si="21"/>
        <v/>
      </c>
      <c r="I79" s="6" t="str">
        <f t="shared" ca="1" si="22"/>
        <v/>
      </c>
      <c r="J79" s="3" t="str">
        <f t="shared" si="23"/>
        <v/>
      </c>
      <c r="K79" s="6" t="str">
        <f>IF(A79="","",VLOOKUP(J79,[1]Initiated!$A:$Y,2,0))</f>
        <v/>
      </c>
      <c r="L79" s="2" t="str">
        <f>IF(A79="","",VLOOKUP(J79,[1]Initiated!$A:$Y,5,FALSE))</f>
        <v/>
      </c>
      <c r="M79" s="6" t="str">
        <f>IF(A79="","",VLOOKUP(J79,[1]Initiated!$A:$Y,6,FALSE))</f>
        <v/>
      </c>
      <c r="N79" s="6" t="str">
        <f>IF(A79="","",VLOOKUP(J79,[1]Initiated!$A:$Y,9,FALSE))</f>
        <v/>
      </c>
      <c r="O79" s="3" t="str">
        <f t="shared" si="24"/>
        <v/>
      </c>
      <c r="P79" s="6" t="str">
        <f>IF(OR(A79="", ISNUMBER(SEARCH("PFr", C79))), "", VLOOKUP(J79, [1]Initiated!$A:$Y, 7, FALSE))</f>
        <v/>
      </c>
      <c r="Q79" s="6" t="str">
        <f>IF(OR(A79="", ISNUMBER(SEARCH("PFr", C79))), "", VLOOKUP(J79, [1]Initiated!$A:$Y, 8, 0))</f>
        <v/>
      </c>
      <c r="R79" s="5" t="str">
        <f t="shared" si="25"/>
        <v/>
      </c>
      <c r="S79" s="4" t="str">
        <f>IF(A79="","",VLOOKUP(J79,[1]Initiated!$A:$Y,3,FALSE))</f>
        <v/>
      </c>
      <c r="T79" s="4" t="str">
        <f t="shared" ca="1" si="26"/>
        <v/>
      </c>
      <c r="U79" s="5" t="str">
        <f t="shared" si="27"/>
        <v/>
      </c>
      <c r="V79" s="5" t="str">
        <f t="shared" si="28"/>
        <v/>
      </c>
      <c r="W79" s="4" t="str">
        <f>IF(A79="","",VLOOKUP(J79,[1]Initiated!$A:$Y,10,0))</f>
        <v/>
      </c>
      <c r="X79" s="5" t="str">
        <f t="shared" si="29"/>
        <v/>
      </c>
    </row>
    <row r="80" spans="1:24" x14ac:dyDescent="0.25">
      <c r="A80" s="6"/>
      <c r="B80" s="6" t="str">
        <f t="shared" si="19"/>
        <v/>
      </c>
      <c r="C80" s="6" t="str">
        <f t="shared" si="20"/>
        <v/>
      </c>
      <c r="D80" s="6"/>
      <c r="E80" s="6"/>
      <c r="F80" s="6"/>
      <c r="G80" s="6"/>
      <c r="H80" s="6" t="str">
        <f t="shared" si="21"/>
        <v/>
      </c>
      <c r="I80" s="6" t="str">
        <f t="shared" ca="1" si="22"/>
        <v/>
      </c>
      <c r="J80" s="3" t="str">
        <f t="shared" si="23"/>
        <v/>
      </c>
      <c r="K80" s="6" t="str">
        <f>IF(A80="","",VLOOKUP(J80,[1]Initiated!$A:$Y,2,0))</f>
        <v/>
      </c>
      <c r="L80" s="2" t="str">
        <f>IF(A80="","",VLOOKUP(J80,[1]Initiated!$A:$Y,5,FALSE))</f>
        <v/>
      </c>
      <c r="M80" s="6" t="str">
        <f>IF(A80="","",VLOOKUP(J80,[1]Initiated!$A:$Y,6,FALSE))</f>
        <v/>
      </c>
      <c r="N80" s="6" t="str">
        <f>IF(A80="","",VLOOKUP(J80,[1]Initiated!$A:$Y,9,FALSE))</f>
        <v/>
      </c>
      <c r="O80" s="3" t="str">
        <f t="shared" si="24"/>
        <v/>
      </c>
      <c r="P80" s="6" t="str">
        <f>IF(OR(A80="", ISNUMBER(SEARCH("PFr", C80))), "", VLOOKUP(J80, [1]Initiated!$A:$Y, 7, FALSE))</f>
        <v/>
      </c>
      <c r="Q80" s="6" t="str">
        <f>IF(OR(A80="", ISNUMBER(SEARCH("PFr", C80))), "", VLOOKUP(J80, [1]Initiated!$A:$Y, 8, 0))</f>
        <v/>
      </c>
      <c r="R80" s="5" t="str">
        <f t="shared" si="25"/>
        <v/>
      </c>
      <c r="S80" s="4" t="str">
        <f>IF(A80="","",VLOOKUP(J80,[1]Initiated!$A:$Y,3,FALSE))</f>
        <v/>
      </c>
      <c r="T80" s="4" t="str">
        <f t="shared" ca="1" si="26"/>
        <v/>
      </c>
      <c r="U80" s="5" t="str">
        <f t="shared" si="27"/>
        <v/>
      </c>
      <c r="V80" s="5" t="str">
        <f t="shared" si="28"/>
        <v/>
      </c>
      <c r="W80" s="4" t="str">
        <f>IF(A80="","",VLOOKUP(J80,[1]Initiated!$A:$Y,10,0))</f>
        <v/>
      </c>
      <c r="X80" s="5" t="str">
        <f t="shared" si="29"/>
        <v/>
      </c>
    </row>
    <row r="81" spans="1:24" x14ac:dyDescent="0.25">
      <c r="A81" s="6"/>
      <c r="B81" s="6" t="str">
        <f t="shared" si="19"/>
        <v/>
      </c>
      <c r="C81" s="6" t="str">
        <f t="shared" si="20"/>
        <v/>
      </c>
      <c r="D81" s="6"/>
      <c r="E81" s="6"/>
      <c r="F81" s="6"/>
      <c r="G81" s="6"/>
      <c r="H81" s="6" t="str">
        <f t="shared" si="21"/>
        <v/>
      </c>
      <c r="I81" s="6" t="str">
        <f t="shared" ca="1" si="22"/>
        <v/>
      </c>
      <c r="J81" s="3" t="str">
        <f t="shared" si="23"/>
        <v/>
      </c>
      <c r="K81" s="6" t="str">
        <f>IF(A81="","",VLOOKUP(J81,[1]Initiated!$A:$Y,2,0))</f>
        <v/>
      </c>
      <c r="L81" s="2" t="str">
        <f>IF(A81="","",VLOOKUP(J81,[1]Initiated!$A:$Y,5,FALSE))</f>
        <v/>
      </c>
      <c r="M81" s="6" t="str">
        <f>IF(A81="","",VLOOKUP(J81,[1]Initiated!$A:$Y,6,FALSE))</f>
        <v/>
      </c>
      <c r="N81" s="6" t="str">
        <f>IF(A81="","",VLOOKUP(J81,[1]Initiated!$A:$Y,9,FALSE))</f>
        <v/>
      </c>
      <c r="O81" s="3" t="str">
        <f t="shared" si="24"/>
        <v/>
      </c>
      <c r="P81" s="6" t="str">
        <f>IF(OR(A81="", ISNUMBER(SEARCH("PFr", C81))), "", VLOOKUP(J81, [1]Initiated!$A:$Y, 7, FALSE))</f>
        <v/>
      </c>
      <c r="Q81" s="6" t="str">
        <f>IF(OR(A81="", ISNUMBER(SEARCH("PFr", C81))), "", VLOOKUP(J81, [1]Initiated!$A:$Y, 8, 0))</f>
        <v/>
      </c>
      <c r="R81" s="5" t="str">
        <f t="shared" si="25"/>
        <v/>
      </c>
      <c r="S81" s="4" t="str">
        <f>IF(A81="","",VLOOKUP(J81,[1]Initiated!$A:$Y,3,FALSE))</f>
        <v/>
      </c>
      <c r="T81" s="4" t="str">
        <f t="shared" ca="1" si="26"/>
        <v/>
      </c>
      <c r="U81" s="5" t="str">
        <f t="shared" si="27"/>
        <v/>
      </c>
      <c r="V81" s="5" t="str">
        <f t="shared" si="28"/>
        <v/>
      </c>
      <c r="W81" s="4" t="str">
        <f>IF(A81="","",VLOOKUP(J81,[1]Initiated!$A:$Y,10,0))</f>
        <v/>
      </c>
      <c r="X81" s="5" t="str">
        <f t="shared" si="29"/>
        <v/>
      </c>
    </row>
    <row r="82" spans="1:24" x14ac:dyDescent="0.25">
      <c r="A82" s="6"/>
      <c r="B82" s="6" t="str">
        <f t="shared" si="19"/>
        <v/>
      </c>
      <c r="C82" s="6" t="str">
        <f t="shared" si="20"/>
        <v/>
      </c>
      <c r="D82" s="6"/>
      <c r="E82" s="6"/>
      <c r="F82" s="6"/>
      <c r="G82" s="6"/>
      <c r="H82" s="6" t="str">
        <f t="shared" si="21"/>
        <v/>
      </c>
      <c r="I82" s="6" t="str">
        <f t="shared" ca="1" si="22"/>
        <v/>
      </c>
      <c r="J82" s="3" t="str">
        <f t="shared" si="23"/>
        <v/>
      </c>
      <c r="K82" s="6" t="str">
        <f>IF(A82="","",VLOOKUP(J82,[1]Initiated!$A:$Y,2,0))</f>
        <v/>
      </c>
      <c r="L82" s="2" t="str">
        <f>IF(A82="","",VLOOKUP(J82,[1]Initiated!$A:$Y,5,FALSE))</f>
        <v/>
      </c>
      <c r="M82" s="6" t="str">
        <f>IF(A82="","",VLOOKUP(J82,[1]Initiated!$A:$Y,6,FALSE))</f>
        <v/>
      </c>
      <c r="N82" s="6" t="str">
        <f>IF(A82="","",VLOOKUP(J82,[1]Initiated!$A:$Y,9,FALSE))</f>
        <v/>
      </c>
      <c r="O82" s="3" t="str">
        <f t="shared" si="24"/>
        <v/>
      </c>
      <c r="P82" s="6" t="str">
        <f>IF(OR(A82="", ISNUMBER(SEARCH("PFr", C82))), "", VLOOKUP(J82, [1]Initiated!$A:$Y, 7, FALSE))</f>
        <v/>
      </c>
      <c r="Q82" s="6" t="str">
        <f>IF(OR(A82="", ISNUMBER(SEARCH("PFr", C82))), "", VLOOKUP(J82, [1]Initiated!$A:$Y, 8, 0))</f>
        <v/>
      </c>
      <c r="R82" s="5" t="str">
        <f t="shared" si="25"/>
        <v/>
      </c>
      <c r="S82" s="4" t="str">
        <f>IF(A82="","",VLOOKUP(J82,[1]Initiated!$A:$Y,3,FALSE))</f>
        <v/>
      </c>
      <c r="T82" s="4" t="str">
        <f t="shared" ca="1" si="26"/>
        <v/>
      </c>
      <c r="U82" s="5" t="str">
        <f t="shared" si="27"/>
        <v/>
      </c>
      <c r="V82" s="5" t="str">
        <f t="shared" si="28"/>
        <v/>
      </c>
      <c r="W82" s="4" t="str">
        <f>IF(A82="","",VLOOKUP(J82,[1]Initiated!$A:$Y,10,0))</f>
        <v/>
      </c>
      <c r="X82" s="5" t="str">
        <f t="shared" si="29"/>
        <v/>
      </c>
    </row>
    <row r="83" spans="1:24" x14ac:dyDescent="0.25">
      <c r="A83" s="6"/>
      <c r="B83" s="6" t="str">
        <f t="shared" si="19"/>
        <v/>
      </c>
      <c r="C83" s="6" t="str">
        <f t="shared" si="20"/>
        <v/>
      </c>
      <c r="D83" s="6"/>
      <c r="E83" s="6"/>
      <c r="F83" s="6"/>
      <c r="G83" s="6"/>
      <c r="H83" s="6" t="str">
        <f t="shared" si="21"/>
        <v/>
      </c>
      <c r="I83" s="6" t="str">
        <f t="shared" ca="1" si="22"/>
        <v/>
      </c>
      <c r="J83" s="3" t="str">
        <f t="shared" si="23"/>
        <v/>
      </c>
      <c r="K83" s="6" t="str">
        <f>IF(A83="","",VLOOKUP(J83,[1]Initiated!$A:$Y,2,0))</f>
        <v/>
      </c>
      <c r="L83" s="2" t="str">
        <f>IF(A83="","",VLOOKUP(J83,[1]Initiated!$A:$Y,5,FALSE))</f>
        <v/>
      </c>
      <c r="M83" s="6" t="str">
        <f>IF(A83="","",VLOOKUP(J83,[1]Initiated!$A:$Y,6,FALSE))</f>
        <v/>
      </c>
      <c r="N83" s="6" t="str">
        <f>IF(A83="","",VLOOKUP(J83,[1]Initiated!$A:$Y,9,FALSE))</f>
        <v/>
      </c>
      <c r="O83" s="3" t="str">
        <f t="shared" si="24"/>
        <v/>
      </c>
      <c r="P83" s="6" t="str">
        <f>IF(OR(A83="", ISNUMBER(SEARCH("PFr", C83))), "", VLOOKUP(J83, [1]Initiated!$A:$Y, 7, FALSE))</f>
        <v/>
      </c>
      <c r="Q83" s="6" t="str">
        <f>IF(OR(A83="", ISNUMBER(SEARCH("PFr", C83))), "", VLOOKUP(J83, [1]Initiated!$A:$Y, 8, 0))</f>
        <v/>
      </c>
      <c r="R83" s="5" t="str">
        <f t="shared" si="25"/>
        <v/>
      </c>
      <c r="S83" s="4" t="str">
        <f>IF(A83="","",VLOOKUP(J83,[1]Initiated!$A:$Y,3,FALSE))</f>
        <v/>
      </c>
      <c r="T83" s="4" t="str">
        <f t="shared" ca="1" si="26"/>
        <v/>
      </c>
      <c r="U83" s="5" t="str">
        <f t="shared" si="27"/>
        <v/>
      </c>
      <c r="V83" s="5" t="str">
        <f t="shared" si="28"/>
        <v/>
      </c>
      <c r="W83" s="4" t="str">
        <f>IF(A83="","",VLOOKUP(J83,[1]Initiated!$A:$Y,10,0))</f>
        <v/>
      </c>
      <c r="X83" s="5" t="str">
        <f t="shared" si="29"/>
        <v/>
      </c>
    </row>
    <row r="84" spans="1:24" x14ac:dyDescent="0.25">
      <c r="A84" s="6"/>
      <c r="B84" s="6" t="str">
        <f t="shared" si="19"/>
        <v/>
      </c>
      <c r="C84" s="6" t="str">
        <f t="shared" si="20"/>
        <v/>
      </c>
      <c r="D84" s="6"/>
      <c r="E84" s="6"/>
      <c r="F84" s="6"/>
      <c r="G84" s="6"/>
      <c r="H84" s="6" t="str">
        <f t="shared" si="21"/>
        <v/>
      </c>
      <c r="I84" s="6" t="str">
        <f t="shared" ca="1" si="22"/>
        <v/>
      </c>
      <c r="J84" s="3" t="str">
        <f t="shared" si="23"/>
        <v/>
      </c>
      <c r="K84" s="6" t="str">
        <f>IF(A84="","",VLOOKUP(J84,[1]Initiated!$A:$Y,2,0))</f>
        <v/>
      </c>
      <c r="L84" s="2" t="str">
        <f>IF(A84="","",VLOOKUP(J84,[1]Initiated!$A:$Y,5,FALSE))</f>
        <v/>
      </c>
      <c r="M84" s="6" t="str">
        <f>IF(A84="","",VLOOKUP(J84,[1]Initiated!$A:$Y,6,FALSE))</f>
        <v/>
      </c>
      <c r="N84" s="6" t="str">
        <f>IF(A84="","",VLOOKUP(J84,[1]Initiated!$A:$Y,9,FALSE))</f>
        <v/>
      </c>
      <c r="O84" s="3" t="str">
        <f t="shared" si="24"/>
        <v/>
      </c>
      <c r="P84" s="6" t="str">
        <f>IF(OR(A84="", ISNUMBER(SEARCH("PFr", C84))), "", VLOOKUP(J84, [1]Initiated!$A:$Y, 7, FALSE))</f>
        <v/>
      </c>
      <c r="Q84" s="6" t="str">
        <f>IF(OR(A84="", ISNUMBER(SEARCH("PFr", C84))), "", VLOOKUP(J84, [1]Initiated!$A:$Y, 8, 0))</f>
        <v/>
      </c>
      <c r="R84" s="5" t="str">
        <f t="shared" si="25"/>
        <v/>
      </c>
      <c r="S84" s="4" t="str">
        <f>IF(A84="","",VLOOKUP(J84,[1]Initiated!$A:$Y,3,FALSE))</f>
        <v/>
      </c>
      <c r="T84" s="4" t="str">
        <f t="shared" ca="1" si="26"/>
        <v/>
      </c>
      <c r="U84" s="5" t="str">
        <f t="shared" si="27"/>
        <v/>
      </c>
      <c r="V84" s="5" t="str">
        <f t="shared" si="28"/>
        <v/>
      </c>
      <c r="W84" s="4" t="str">
        <f>IF(A84="","",VLOOKUP(J84,[1]Initiated!$A:$Y,10,0))</f>
        <v/>
      </c>
      <c r="X84" s="5" t="str">
        <f t="shared" si="29"/>
        <v/>
      </c>
    </row>
    <row r="85" spans="1:24" x14ac:dyDescent="0.25">
      <c r="A85" s="6"/>
      <c r="B85" s="6" t="str">
        <f t="shared" si="19"/>
        <v/>
      </c>
      <c r="C85" s="6" t="str">
        <f t="shared" si="20"/>
        <v/>
      </c>
      <c r="D85" s="6"/>
      <c r="E85" s="6"/>
      <c r="F85" s="6"/>
      <c r="G85" s="6"/>
      <c r="H85" s="6" t="str">
        <f t="shared" si="21"/>
        <v/>
      </c>
      <c r="I85" s="6" t="str">
        <f t="shared" ca="1" si="22"/>
        <v/>
      </c>
      <c r="J85" s="3" t="str">
        <f t="shared" si="23"/>
        <v/>
      </c>
      <c r="K85" s="6" t="str">
        <f>IF(A85="","",VLOOKUP(J85,[1]Initiated!$A:$Y,2,0))</f>
        <v/>
      </c>
      <c r="L85" s="2" t="str">
        <f>IF(A85="","",VLOOKUP(J85,[1]Initiated!$A:$Y,5,FALSE))</f>
        <v/>
      </c>
      <c r="M85" s="6" t="str">
        <f>IF(A85="","",VLOOKUP(J85,[1]Initiated!$A:$Y,6,FALSE))</f>
        <v/>
      </c>
      <c r="N85" s="6" t="str">
        <f>IF(A85="","",VLOOKUP(J85,[1]Initiated!$A:$Y,9,FALSE))</f>
        <v/>
      </c>
      <c r="O85" s="3" t="str">
        <f t="shared" si="24"/>
        <v/>
      </c>
      <c r="P85" s="6" t="str">
        <f>IF(OR(A85="", ISNUMBER(SEARCH("PFr", C85))), "", VLOOKUP(J85, [1]Initiated!$A:$Y, 7, FALSE))</f>
        <v/>
      </c>
      <c r="Q85" s="6" t="str">
        <f>IF(OR(A85="", ISNUMBER(SEARCH("PFr", C85))), "", VLOOKUP(J85, [1]Initiated!$A:$Y, 8, 0))</f>
        <v/>
      </c>
      <c r="R85" s="5" t="str">
        <f t="shared" si="25"/>
        <v/>
      </c>
      <c r="S85" s="4" t="str">
        <f>IF(A85="","",VLOOKUP(J85,[1]Initiated!$A:$Y,3,FALSE))</f>
        <v/>
      </c>
      <c r="T85" s="4" t="str">
        <f t="shared" ca="1" si="26"/>
        <v/>
      </c>
      <c r="U85" s="5" t="str">
        <f t="shared" si="27"/>
        <v/>
      </c>
      <c r="V85" s="5" t="str">
        <f t="shared" si="28"/>
        <v/>
      </c>
      <c r="W85" s="4" t="str">
        <f>IF(A85="","",VLOOKUP(J85,[1]Initiated!$A:$Y,10,0))</f>
        <v/>
      </c>
      <c r="X85" s="5" t="str">
        <f t="shared" si="29"/>
        <v/>
      </c>
    </row>
    <row r="86" spans="1:24" x14ac:dyDescent="0.25">
      <c r="A86" s="6"/>
      <c r="B86" s="6" t="str">
        <f t="shared" si="19"/>
        <v/>
      </c>
      <c r="C86" s="6" t="str">
        <f t="shared" si="20"/>
        <v/>
      </c>
      <c r="D86" s="6"/>
      <c r="E86" s="6"/>
      <c r="F86" s="6"/>
      <c r="G86" s="6"/>
      <c r="H86" s="6" t="str">
        <f t="shared" si="21"/>
        <v/>
      </c>
      <c r="I86" s="6" t="str">
        <f t="shared" ca="1" si="22"/>
        <v/>
      </c>
      <c r="J86" s="3" t="str">
        <f t="shared" si="23"/>
        <v/>
      </c>
      <c r="K86" s="6" t="str">
        <f>IF(A86="","",VLOOKUP(J86,[1]Initiated!$A:$Y,2,0))</f>
        <v/>
      </c>
      <c r="L86" s="2" t="str">
        <f>IF(A86="","",VLOOKUP(J86,[1]Initiated!$A:$Y,5,FALSE))</f>
        <v/>
      </c>
      <c r="M86" s="6" t="str">
        <f>IF(A86="","",VLOOKUP(J86,[1]Initiated!$A:$Y,6,FALSE))</f>
        <v/>
      </c>
      <c r="N86" s="6" t="str">
        <f>IF(A86="","",VLOOKUP(J86,[1]Initiated!$A:$Y,9,FALSE))</f>
        <v/>
      </c>
      <c r="O86" s="3" t="str">
        <f t="shared" si="24"/>
        <v/>
      </c>
      <c r="P86" s="6" t="str">
        <f>IF(OR(A86="", ISNUMBER(SEARCH("PFr", C86))), "", VLOOKUP(J86, [1]Initiated!$A:$Y, 7, FALSE))</f>
        <v/>
      </c>
      <c r="Q86" s="6" t="str">
        <f>IF(OR(A86="", ISNUMBER(SEARCH("PFr", C86))), "", VLOOKUP(J86, [1]Initiated!$A:$Y, 8, 0))</f>
        <v/>
      </c>
      <c r="R86" s="5" t="str">
        <f t="shared" si="25"/>
        <v/>
      </c>
      <c r="S86" s="4" t="str">
        <f>IF(A86="","",VLOOKUP(J86,[1]Initiated!$A:$Y,3,FALSE))</f>
        <v/>
      </c>
      <c r="T86" s="4" t="str">
        <f t="shared" ca="1" si="26"/>
        <v/>
      </c>
      <c r="U86" s="5" t="str">
        <f t="shared" si="27"/>
        <v/>
      </c>
      <c r="V86" s="5" t="str">
        <f t="shared" si="28"/>
        <v/>
      </c>
      <c r="W86" s="4" t="str">
        <f>IF(A86="","",VLOOKUP(J86,[1]Initiated!$A:$Y,10,0))</f>
        <v/>
      </c>
      <c r="X86" s="5" t="str">
        <f t="shared" si="29"/>
        <v/>
      </c>
    </row>
    <row r="87" spans="1:24" x14ac:dyDescent="0.25">
      <c r="A87" s="6"/>
      <c r="B87" s="6" t="str">
        <f t="shared" si="19"/>
        <v/>
      </c>
      <c r="C87" s="6" t="str">
        <f t="shared" si="20"/>
        <v/>
      </c>
      <c r="D87" s="6"/>
      <c r="E87" s="6"/>
      <c r="F87" s="6"/>
      <c r="G87" s="6"/>
      <c r="H87" s="6" t="str">
        <f t="shared" si="21"/>
        <v/>
      </c>
      <c r="I87" s="6" t="str">
        <f t="shared" ca="1" si="22"/>
        <v/>
      </c>
      <c r="J87" s="3" t="str">
        <f t="shared" si="23"/>
        <v/>
      </c>
      <c r="K87" s="6" t="str">
        <f>IF(A87="","",VLOOKUP(J87,[1]Initiated!$A:$Y,2,0))</f>
        <v/>
      </c>
      <c r="L87" s="2" t="str">
        <f>IF(A87="","",VLOOKUP(J87,[1]Initiated!$A:$Y,5,FALSE))</f>
        <v/>
      </c>
      <c r="M87" s="6" t="str">
        <f>IF(A87="","",VLOOKUP(J87,[1]Initiated!$A:$Y,6,FALSE))</f>
        <v/>
      </c>
      <c r="N87" s="6" t="str">
        <f>IF(A87="","",VLOOKUP(J87,[1]Initiated!$A:$Y,9,FALSE))</f>
        <v/>
      </c>
      <c r="O87" s="3" t="str">
        <f t="shared" si="24"/>
        <v/>
      </c>
      <c r="P87" s="6" t="str">
        <f>IF(OR(A87="", ISNUMBER(SEARCH("PFr", C87))), "", VLOOKUP(J87, [1]Initiated!$A:$Y, 7, FALSE))</f>
        <v/>
      </c>
      <c r="Q87" s="6" t="str">
        <f>IF(OR(A87="", ISNUMBER(SEARCH("PFr", C87))), "", VLOOKUP(J87, [1]Initiated!$A:$Y, 8, 0))</f>
        <v/>
      </c>
      <c r="R87" s="5" t="str">
        <f t="shared" si="25"/>
        <v/>
      </c>
      <c r="S87" s="4" t="str">
        <f>IF(A87="","",VLOOKUP(J87,[1]Initiated!$A:$Y,3,FALSE))</f>
        <v/>
      </c>
      <c r="T87" s="4" t="str">
        <f t="shared" ca="1" si="26"/>
        <v/>
      </c>
      <c r="U87" s="5" t="str">
        <f t="shared" si="27"/>
        <v/>
      </c>
      <c r="V87" s="5" t="str">
        <f t="shared" si="28"/>
        <v/>
      </c>
      <c r="W87" s="4" t="str">
        <f>IF(A87="","",VLOOKUP(J87,[1]Initiated!$A:$Y,10,0))</f>
        <v/>
      </c>
      <c r="X87" s="5" t="str">
        <f t="shared" si="29"/>
        <v/>
      </c>
    </row>
    <row r="88" spans="1:24" x14ac:dyDescent="0.25">
      <c r="A88" s="6"/>
      <c r="B88" s="6" t="str">
        <f t="shared" si="19"/>
        <v/>
      </c>
      <c r="C88" s="6" t="str">
        <f t="shared" si="20"/>
        <v/>
      </c>
      <c r="D88" s="6"/>
      <c r="E88" s="6"/>
      <c r="F88" s="6"/>
      <c r="G88" s="6"/>
      <c r="H88" s="6" t="str">
        <f t="shared" si="21"/>
        <v/>
      </c>
      <c r="I88" s="6" t="str">
        <f t="shared" ca="1" si="22"/>
        <v/>
      </c>
      <c r="J88" s="3" t="str">
        <f t="shared" si="23"/>
        <v/>
      </c>
      <c r="K88" s="6" t="str">
        <f>IF(A88="","",VLOOKUP(J88,[1]Initiated!$A:$Y,2,0))</f>
        <v/>
      </c>
      <c r="L88" s="2" t="str">
        <f>IF(A88="","",VLOOKUP(J88,[1]Initiated!$A:$Y,5,FALSE))</f>
        <v/>
      </c>
      <c r="M88" s="6" t="str">
        <f>IF(A88="","",VLOOKUP(J88,[1]Initiated!$A:$Y,6,FALSE))</f>
        <v/>
      </c>
      <c r="N88" s="6" t="str">
        <f>IF(A88="","",VLOOKUP(J88,[1]Initiated!$A:$Y,9,FALSE))</f>
        <v/>
      </c>
      <c r="O88" s="3" t="str">
        <f t="shared" si="24"/>
        <v/>
      </c>
      <c r="P88" s="6" t="str">
        <f>IF(OR(A88="", ISNUMBER(SEARCH("PFr", C88))), "", VLOOKUP(J88, [1]Initiated!$A:$Y, 7, FALSE))</f>
        <v/>
      </c>
      <c r="Q88" s="6" t="str">
        <f>IF(OR(A88="", ISNUMBER(SEARCH("PFr", C88))), "", VLOOKUP(J88, [1]Initiated!$A:$Y, 8, 0))</f>
        <v/>
      </c>
      <c r="R88" s="5" t="str">
        <f t="shared" si="25"/>
        <v/>
      </c>
      <c r="S88" s="4" t="str">
        <f>IF(A88="","",VLOOKUP(J88,[1]Initiated!$A:$Y,3,FALSE))</f>
        <v/>
      </c>
      <c r="T88" s="4" t="str">
        <f t="shared" ca="1" si="26"/>
        <v/>
      </c>
      <c r="U88" s="5" t="str">
        <f t="shared" si="27"/>
        <v/>
      </c>
      <c r="V88" s="5" t="str">
        <f t="shared" si="28"/>
        <v/>
      </c>
      <c r="W88" s="4" t="str">
        <f>IF(A88="","",VLOOKUP(J88,[1]Initiated!$A:$Y,10,0))</f>
        <v/>
      </c>
      <c r="X88" s="5" t="str">
        <f t="shared" si="29"/>
        <v/>
      </c>
    </row>
    <row r="89" spans="1:24" x14ac:dyDescent="0.25">
      <c r="A89" s="6"/>
      <c r="B89" s="6" t="str">
        <f t="shared" si="19"/>
        <v/>
      </c>
      <c r="C89" s="6" t="str">
        <f t="shared" si="20"/>
        <v/>
      </c>
      <c r="D89" s="6"/>
      <c r="E89" s="6"/>
      <c r="F89" s="6"/>
      <c r="G89" s="6"/>
      <c r="H89" s="6" t="str">
        <f t="shared" si="21"/>
        <v/>
      </c>
      <c r="I89" s="6" t="str">
        <f t="shared" ca="1" si="22"/>
        <v/>
      </c>
      <c r="J89" s="3" t="str">
        <f t="shared" si="23"/>
        <v/>
      </c>
      <c r="K89" s="6" t="str">
        <f>IF(A89="","",VLOOKUP(J89,[1]Initiated!$A:$Y,2,0))</f>
        <v/>
      </c>
      <c r="L89" s="2" t="str">
        <f>IF(A89="","",VLOOKUP(J89,[1]Initiated!$A:$Y,5,FALSE))</f>
        <v/>
      </c>
      <c r="M89" s="6" t="str">
        <f>IF(A89="","",VLOOKUP(J89,[1]Initiated!$A:$Y,6,FALSE))</f>
        <v/>
      </c>
      <c r="N89" s="6" t="str">
        <f>IF(A89="","",VLOOKUP(J89,[1]Initiated!$A:$Y,9,FALSE))</f>
        <v/>
      </c>
      <c r="O89" s="3" t="str">
        <f t="shared" si="24"/>
        <v/>
      </c>
      <c r="P89" s="6" t="str">
        <f>IF(OR(A89="", ISNUMBER(SEARCH("PFr", C89))), "", VLOOKUP(J89, [1]Initiated!$A:$Y, 7, FALSE))</f>
        <v/>
      </c>
      <c r="Q89" s="6" t="str">
        <f>IF(OR(A89="", ISNUMBER(SEARCH("PFr", C89))), "", VLOOKUP(J89, [1]Initiated!$A:$Y, 8, 0))</f>
        <v/>
      </c>
      <c r="R89" s="5" t="str">
        <f t="shared" si="25"/>
        <v/>
      </c>
      <c r="S89" s="4" t="str">
        <f>IF(A89="","",VLOOKUP(J89,[1]Initiated!$A:$Y,3,FALSE))</f>
        <v/>
      </c>
      <c r="T89" s="4" t="str">
        <f t="shared" ca="1" si="26"/>
        <v/>
      </c>
      <c r="U89" s="5" t="str">
        <f t="shared" si="27"/>
        <v/>
      </c>
      <c r="V89" s="5" t="str">
        <f t="shared" si="28"/>
        <v/>
      </c>
      <c r="W89" s="4" t="str">
        <f>IF(A89="","",VLOOKUP(J89,[1]Initiated!$A:$Y,10,0))</f>
        <v/>
      </c>
      <c r="X89" s="5" t="str">
        <f t="shared" si="29"/>
        <v/>
      </c>
    </row>
    <row r="90" spans="1:24" x14ac:dyDescent="0.25">
      <c r="A90" s="6"/>
      <c r="B90" s="6" t="str">
        <f t="shared" si="19"/>
        <v/>
      </c>
      <c r="C90" s="6" t="str">
        <f t="shared" si="20"/>
        <v/>
      </c>
      <c r="D90" s="6"/>
      <c r="E90" s="6"/>
      <c r="F90" s="6"/>
      <c r="G90" s="6"/>
      <c r="H90" s="6" t="str">
        <f t="shared" si="21"/>
        <v/>
      </c>
      <c r="I90" s="6" t="str">
        <f t="shared" ca="1" si="22"/>
        <v/>
      </c>
      <c r="J90" s="3" t="str">
        <f t="shared" si="23"/>
        <v/>
      </c>
      <c r="K90" s="6" t="str">
        <f>IF(A90="","",VLOOKUP(J90,[1]Initiated!$A:$Y,2,0))</f>
        <v/>
      </c>
      <c r="L90" s="2" t="str">
        <f>IF(A90="","",VLOOKUP(J90,[1]Initiated!$A:$Y,5,FALSE))</f>
        <v/>
      </c>
      <c r="M90" s="6" t="str">
        <f>IF(A90="","",VLOOKUP(J90,[1]Initiated!$A:$Y,6,FALSE))</f>
        <v/>
      </c>
      <c r="N90" s="6" t="str">
        <f>IF(A90="","",VLOOKUP(J90,[1]Initiated!$A:$Y,9,FALSE))</f>
        <v/>
      </c>
      <c r="O90" s="3" t="str">
        <f t="shared" si="24"/>
        <v/>
      </c>
      <c r="P90" s="6" t="str">
        <f>IF(OR(A90="", ISNUMBER(SEARCH("PFr", C90))), "", VLOOKUP(J90, [1]Initiated!$A:$Y, 7, FALSE))</f>
        <v/>
      </c>
      <c r="Q90" s="6" t="str">
        <f>IF(OR(A90="", ISNUMBER(SEARCH("PFr", C90))), "", VLOOKUP(J90, [1]Initiated!$A:$Y, 8, 0))</f>
        <v/>
      </c>
      <c r="R90" s="5" t="str">
        <f t="shared" si="25"/>
        <v/>
      </c>
      <c r="S90" s="4" t="str">
        <f>IF(A90="","",VLOOKUP(J90,[1]Initiated!$A:$Y,3,FALSE))</f>
        <v/>
      </c>
      <c r="T90" s="4" t="str">
        <f t="shared" ca="1" si="26"/>
        <v/>
      </c>
      <c r="U90" s="5" t="str">
        <f t="shared" si="27"/>
        <v/>
      </c>
      <c r="V90" s="5" t="str">
        <f t="shared" si="28"/>
        <v/>
      </c>
      <c r="W90" s="4" t="str">
        <f>IF(A90="","",VLOOKUP(J90,[1]Initiated!$A:$Y,10,0))</f>
        <v/>
      </c>
      <c r="X90" s="5" t="str">
        <f t="shared" si="29"/>
        <v/>
      </c>
    </row>
    <row r="91" spans="1:24" x14ac:dyDescent="0.25">
      <c r="A91" s="6"/>
      <c r="B91" s="6" t="str">
        <f t="shared" si="19"/>
        <v/>
      </c>
      <c r="C91" s="6" t="str">
        <f t="shared" si="20"/>
        <v/>
      </c>
      <c r="D91" s="6"/>
      <c r="E91" s="6"/>
      <c r="F91" s="6"/>
      <c r="G91" s="6"/>
      <c r="H91" s="6" t="str">
        <f t="shared" si="21"/>
        <v/>
      </c>
      <c r="I91" s="6" t="str">
        <f t="shared" ca="1" si="22"/>
        <v/>
      </c>
      <c r="J91" s="3" t="str">
        <f t="shared" si="23"/>
        <v/>
      </c>
      <c r="K91" s="6" t="str">
        <f>IF(A91="","",VLOOKUP(J91,[1]Initiated!$A:$Y,2,0))</f>
        <v/>
      </c>
      <c r="L91" s="2" t="str">
        <f>IF(A91="","",VLOOKUP(J91,[1]Initiated!$A:$Y,5,FALSE))</f>
        <v/>
      </c>
      <c r="M91" s="6" t="str">
        <f>IF(A91="","",VLOOKUP(J91,[1]Initiated!$A:$Y,6,FALSE))</f>
        <v/>
      </c>
      <c r="N91" s="6" t="str">
        <f>IF(A91="","",VLOOKUP(J91,[1]Initiated!$A:$Y,9,FALSE))</f>
        <v/>
      </c>
      <c r="O91" s="3" t="str">
        <f t="shared" si="24"/>
        <v/>
      </c>
      <c r="P91" s="6" t="str">
        <f>IF(OR(A91="", ISNUMBER(SEARCH("PFr", C91))), "", VLOOKUP(J91, [1]Initiated!$A:$Y, 7, FALSE))</f>
        <v/>
      </c>
      <c r="Q91" s="6" t="str">
        <f>IF(OR(A91="", ISNUMBER(SEARCH("PFr", C91))), "", VLOOKUP(J91, [1]Initiated!$A:$Y, 8, 0))</f>
        <v/>
      </c>
      <c r="R91" s="5" t="str">
        <f t="shared" si="25"/>
        <v/>
      </c>
      <c r="S91" s="4" t="str">
        <f>IF(A91="","",VLOOKUP(J91,[1]Initiated!$A:$Y,3,FALSE))</f>
        <v/>
      </c>
      <c r="T91" s="4" t="str">
        <f t="shared" ca="1" si="26"/>
        <v/>
      </c>
      <c r="U91" s="5" t="str">
        <f t="shared" si="27"/>
        <v/>
      </c>
      <c r="V91" s="5" t="str">
        <f t="shared" si="28"/>
        <v/>
      </c>
      <c r="W91" s="4" t="str">
        <f>IF(A91="","",VLOOKUP(J91,[1]Initiated!$A:$Y,10,0))</f>
        <v/>
      </c>
      <c r="X91" s="5" t="str">
        <f t="shared" si="29"/>
        <v/>
      </c>
    </row>
    <row r="92" spans="1:24" x14ac:dyDescent="0.25">
      <c r="A92" s="6"/>
      <c r="B92" s="6" t="str">
        <f t="shared" si="19"/>
        <v/>
      </c>
      <c r="C92" s="6" t="str">
        <f t="shared" si="20"/>
        <v/>
      </c>
      <c r="D92" s="6"/>
      <c r="E92" s="6"/>
      <c r="F92" s="6"/>
      <c r="G92" s="6"/>
      <c r="H92" s="6" t="str">
        <f t="shared" si="21"/>
        <v/>
      </c>
      <c r="I92" s="6" t="str">
        <f t="shared" ca="1" si="22"/>
        <v/>
      </c>
      <c r="J92" s="3" t="str">
        <f t="shared" si="23"/>
        <v/>
      </c>
      <c r="K92" s="6" t="str">
        <f>IF(A92="","",VLOOKUP(J92,[1]Initiated!$A:$Y,2,0))</f>
        <v/>
      </c>
      <c r="L92" s="2" t="str">
        <f>IF(A92="","",VLOOKUP(J92,[1]Initiated!$A:$Y,5,FALSE))</f>
        <v/>
      </c>
      <c r="M92" s="6" t="str">
        <f>IF(A92="","",VLOOKUP(J92,[1]Initiated!$A:$Y,6,FALSE))</f>
        <v/>
      </c>
      <c r="N92" s="6" t="str">
        <f>IF(A92="","",VLOOKUP(J92,[1]Initiated!$A:$Y,9,FALSE))</f>
        <v/>
      </c>
      <c r="O92" s="3" t="str">
        <f t="shared" si="24"/>
        <v/>
      </c>
      <c r="P92" s="6" t="str">
        <f>IF(OR(A92="", ISNUMBER(SEARCH("PFr", C92))), "", VLOOKUP(J92, [1]Initiated!$A:$Y, 7, FALSE))</f>
        <v/>
      </c>
      <c r="Q92" s="6" t="str">
        <f>IF(OR(A92="", ISNUMBER(SEARCH("PFr", C92))), "", VLOOKUP(J92, [1]Initiated!$A:$Y, 8, 0))</f>
        <v/>
      </c>
      <c r="R92" s="5" t="str">
        <f t="shared" si="25"/>
        <v/>
      </c>
      <c r="S92" s="4" t="str">
        <f>IF(A92="","",VLOOKUP(J92,[1]Initiated!$A:$Y,3,FALSE))</f>
        <v/>
      </c>
      <c r="T92" s="4" t="str">
        <f t="shared" ca="1" si="26"/>
        <v/>
      </c>
      <c r="U92" s="5" t="str">
        <f t="shared" si="27"/>
        <v/>
      </c>
      <c r="V92" s="5" t="str">
        <f t="shared" si="28"/>
        <v/>
      </c>
      <c r="W92" s="4" t="str">
        <f>IF(A92="","",VLOOKUP(J92,[1]Initiated!$A:$Y,10,0))</f>
        <v/>
      </c>
      <c r="X92" s="5" t="str">
        <f t="shared" si="29"/>
        <v/>
      </c>
    </row>
    <row r="93" spans="1:24" x14ac:dyDescent="0.25">
      <c r="A93" s="6"/>
      <c r="B93" s="6" t="str">
        <f t="shared" si="19"/>
        <v/>
      </c>
      <c r="C93" s="6" t="str">
        <f t="shared" si="20"/>
        <v/>
      </c>
      <c r="D93" s="6"/>
      <c r="E93" s="6"/>
      <c r="F93" s="6"/>
      <c r="G93" s="6"/>
      <c r="H93" s="6" t="str">
        <f t="shared" si="21"/>
        <v/>
      </c>
      <c r="I93" s="6" t="str">
        <f t="shared" ca="1" si="22"/>
        <v/>
      </c>
      <c r="J93" s="3" t="str">
        <f t="shared" si="23"/>
        <v/>
      </c>
      <c r="K93" s="6" t="str">
        <f>IF(A93="","",VLOOKUP(J93,[1]Initiated!$A:$Y,2,0))</f>
        <v/>
      </c>
      <c r="L93" s="2" t="str">
        <f>IF(A93="","",VLOOKUP(J93,[1]Initiated!$A:$Y,5,FALSE))</f>
        <v/>
      </c>
      <c r="M93" s="6" t="str">
        <f>IF(A93="","",VLOOKUP(J93,[1]Initiated!$A:$Y,6,FALSE))</f>
        <v/>
      </c>
      <c r="N93" s="6" t="str">
        <f>IF(A93="","",VLOOKUP(J93,[1]Initiated!$A:$Y,9,FALSE))</f>
        <v/>
      </c>
      <c r="O93" s="3" t="str">
        <f t="shared" si="24"/>
        <v/>
      </c>
      <c r="P93" s="6" t="str">
        <f>IF(OR(A93="", ISNUMBER(SEARCH("PFr", C93))), "", VLOOKUP(J93, [1]Initiated!$A:$Y, 7, FALSE))</f>
        <v/>
      </c>
      <c r="Q93" s="6" t="str">
        <f>IF(OR(A93="", ISNUMBER(SEARCH("PFr", C93))), "", VLOOKUP(J93, [1]Initiated!$A:$Y, 8, 0))</f>
        <v/>
      </c>
      <c r="R93" s="5" t="str">
        <f t="shared" si="25"/>
        <v/>
      </c>
      <c r="S93" s="4" t="str">
        <f>IF(A93="","",VLOOKUP(J93,[1]Initiated!$A:$Y,3,FALSE))</f>
        <v/>
      </c>
      <c r="T93" s="4" t="str">
        <f t="shared" ca="1" si="26"/>
        <v/>
      </c>
      <c r="U93" s="5" t="str">
        <f t="shared" si="27"/>
        <v/>
      </c>
      <c r="V93" s="5" t="str">
        <f t="shared" si="28"/>
        <v/>
      </c>
      <c r="W93" s="4" t="str">
        <f>IF(A93="","",VLOOKUP(J93,[1]Initiated!$A:$Y,10,0))</f>
        <v/>
      </c>
      <c r="X93" s="5" t="str">
        <f t="shared" si="29"/>
        <v/>
      </c>
    </row>
    <row r="94" spans="1:24" x14ac:dyDescent="0.25">
      <c r="A94" s="6"/>
      <c r="B94" s="6" t="str">
        <f t="shared" si="19"/>
        <v/>
      </c>
      <c r="C94" s="6" t="str">
        <f t="shared" si="20"/>
        <v/>
      </c>
      <c r="D94" s="6"/>
      <c r="E94" s="6"/>
      <c r="F94" s="6"/>
      <c r="G94" s="6"/>
      <c r="H94" s="6" t="str">
        <f t="shared" si="21"/>
        <v/>
      </c>
      <c r="I94" s="6" t="str">
        <f t="shared" ca="1" si="22"/>
        <v/>
      </c>
      <c r="J94" s="3" t="str">
        <f t="shared" si="23"/>
        <v/>
      </c>
      <c r="K94" s="6" t="str">
        <f>IF(A94="","",VLOOKUP(J94,[1]Initiated!$A:$Y,2,0))</f>
        <v/>
      </c>
      <c r="L94" s="2" t="str">
        <f>IF(A94="","",VLOOKUP(J94,[1]Initiated!$A:$Y,5,FALSE))</f>
        <v/>
      </c>
      <c r="M94" s="6" t="str">
        <f>IF(A94="","",VLOOKUP(J94,[1]Initiated!$A:$Y,6,FALSE))</f>
        <v/>
      </c>
      <c r="N94" s="6" t="str">
        <f>IF(A94="","",VLOOKUP(J94,[1]Initiated!$A:$Y,9,FALSE))</f>
        <v/>
      </c>
      <c r="O94" s="3" t="str">
        <f t="shared" si="24"/>
        <v/>
      </c>
      <c r="P94" s="6" t="str">
        <f>IF(OR(A94="", ISNUMBER(SEARCH("PFr", C94))), "", VLOOKUP(J94, [1]Initiated!$A:$Y, 7, FALSE))</f>
        <v/>
      </c>
      <c r="Q94" s="6" t="str">
        <f>IF(OR(A94="", ISNUMBER(SEARCH("PFr", C94))), "", VLOOKUP(J94, [1]Initiated!$A:$Y, 8, 0))</f>
        <v/>
      </c>
      <c r="R94" s="5" t="str">
        <f t="shared" si="25"/>
        <v/>
      </c>
      <c r="S94" s="4" t="str">
        <f>IF(A94="","",VLOOKUP(J94,[1]Initiated!$A:$Y,3,FALSE))</f>
        <v/>
      </c>
      <c r="T94" s="4" t="str">
        <f t="shared" ca="1" si="26"/>
        <v/>
      </c>
      <c r="U94" s="5" t="str">
        <f t="shared" si="27"/>
        <v/>
      </c>
      <c r="V94" s="5" t="str">
        <f t="shared" si="28"/>
        <v/>
      </c>
      <c r="W94" s="4" t="str">
        <f>IF(A94="","",VLOOKUP(J94,[1]Initiated!$A:$Y,10,0))</f>
        <v/>
      </c>
      <c r="X94" s="5" t="str">
        <f t="shared" si="29"/>
        <v/>
      </c>
    </row>
    <row r="95" spans="1:24" x14ac:dyDescent="0.25">
      <c r="A95" s="6"/>
      <c r="B95" s="6" t="str">
        <f t="shared" si="19"/>
        <v/>
      </c>
      <c r="C95" s="6" t="str">
        <f t="shared" si="20"/>
        <v/>
      </c>
      <c r="D95" s="6"/>
      <c r="E95" s="6"/>
      <c r="F95" s="6"/>
      <c r="G95" s="6"/>
      <c r="H95" s="6" t="str">
        <f t="shared" si="21"/>
        <v/>
      </c>
      <c r="I95" s="6" t="str">
        <f t="shared" ca="1" si="22"/>
        <v/>
      </c>
      <c r="J95" s="3" t="str">
        <f t="shared" si="23"/>
        <v/>
      </c>
      <c r="K95" s="6" t="str">
        <f>IF(A95="","",VLOOKUP(J95,[1]Initiated!$A:$Y,2,0))</f>
        <v/>
      </c>
      <c r="L95" s="2" t="str">
        <f>IF(A95="","",VLOOKUP(J95,[1]Initiated!$A:$Y,5,FALSE))</f>
        <v/>
      </c>
      <c r="M95" s="6" t="str">
        <f>IF(A95="","",VLOOKUP(J95,[1]Initiated!$A:$Y,6,FALSE))</f>
        <v/>
      </c>
      <c r="N95" s="6" t="str">
        <f>IF(A95="","",VLOOKUP(J95,[1]Initiated!$A:$Y,9,FALSE))</f>
        <v/>
      </c>
      <c r="O95" s="3" t="str">
        <f t="shared" si="24"/>
        <v/>
      </c>
      <c r="P95" s="6" t="str">
        <f>IF(OR(A95="", ISNUMBER(SEARCH("PFr", C95))), "", VLOOKUP(J95, [1]Initiated!$A:$Y, 7, FALSE))</f>
        <v/>
      </c>
      <c r="Q95" s="6" t="str">
        <f>IF(OR(A95="", ISNUMBER(SEARCH("PFr", C95))), "", VLOOKUP(J95, [1]Initiated!$A:$Y, 8, 0))</f>
        <v/>
      </c>
      <c r="R95" s="5" t="str">
        <f t="shared" si="25"/>
        <v/>
      </c>
      <c r="S95" s="4" t="str">
        <f>IF(A95="","",VLOOKUP(J95,[1]Initiated!$A:$Y,3,FALSE))</f>
        <v/>
      </c>
      <c r="T95" s="4" t="str">
        <f t="shared" ca="1" si="26"/>
        <v/>
      </c>
      <c r="U95" s="5" t="str">
        <f t="shared" si="27"/>
        <v/>
      </c>
      <c r="V95" s="5" t="str">
        <f t="shared" si="28"/>
        <v/>
      </c>
      <c r="W95" s="4" t="str">
        <f>IF(A95="","",VLOOKUP(J95,[1]Initiated!$A:$Y,10,0))</f>
        <v/>
      </c>
      <c r="X95" s="5" t="str">
        <f t="shared" si="29"/>
        <v/>
      </c>
    </row>
    <row r="96" spans="1:24" x14ac:dyDescent="0.25">
      <c r="A96" s="6"/>
      <c r="B96" s="6" t="str">
        <f t="shared" si="19"/>
        <v/>
      </c>
      <c r="C96" s="6" t="str">
        <f t="shared" si="20"/>
        <v/>
      </c>
      <c r="D96" s="6"/>
      <c r="E96" s="6"/>
      <c r="F96" s="6"/>
      <c r="G96" s="6"/>
      <c r="H96" s="6" t="str">
        <f t="shared" si="21"/>
        <v/>
      </c>
      <c r="I96" s="6" t="str">
        <f t="shared" ca="1" si="22"/>
        <v/>
      </c>
      <c r="J96" s="3" t="str">
        <f t="shared" si="23"/>
        <v/>
      </c>
      <c r="K96" s="6" t="str">
        <f>IF(A96="","",VLOOKUP(J96,[1]Initiated!$A:$Y,2,0))</f>
        <v/>
      </c>
      <c r="L96" s="2" t="str">
        <f>IF(A96="","",VLOOKUP(J96,[1]Initiated!$A:$Y,5,FALSE))</f>
        <v/>
      </c>
      <c r="M96" s="6" t="str">
        <f>IF(A96="","",VLOOKUP(J96,[1]Initiated!$A:$Y,6,FALSE))</f>
        <v/>
      </c>
      <c r="N96" s="6" t="str">
        <f>IF(A96="","",VLOOKUP(J96,[1]Initiated!$A:$Y,9,FALSE))</f>
        <v/>
      </c>
      <c r="O96" s="3" t="str">
        <f t="shared" si="24"/>
        <v/>
      </c>
      <c r="P96" s="6" t="str">
        <f>IF(OR(A96="", ISNUMBER(SEARCH("PFr", C96))), "", VLOOKUP(J96, [1]Initiated!$A:$Y, 7, FALSE))</f>
        <v/>
      </c>
      <c r="Q96" s="6" t="str">
        <f>IF(OR(A96="", ISNUMBER(SEARCH("PFr", C96))), "", VLOOKUP(J96, [1]Initiated!$A:$Y, 8, 0))</f>
        <v/>
      </c>
      <c r="R96" s="5" t="str">
        <f t="shared" si="25"/>
        <v/>
      </c>
      <c r="S96" s="4" t="str">
        <f>IF(A96="","",VLOOKUP(J96,[1]Initiated!$A:$Y,3,FALSE))</f>
        <v/>
      </c>
      <c r="T96" s="4" t="str">
        <f t="shared" ca="1" si="26"/>
        <v/>
      </c>
      <c r="U96" s="5" t="str">
        <f t="shared" si="27"/>
        <v/>
      </c>
      <c r="V96" s="5" t="str">
        <f t="shared" si="28"/>
        <v/>
      </c>
      <c r="W96" s="4" t="str">
        <f>IF(A96="","",VLOOKUP(J96,[1]Initiated!$A:$Y,10,0))</f>
        <v/>
      </c>
      <c r="X96" s="5" t="str">
        <f t="shared" si="29"/>
        <v/>
      </c>
    </row>
    <row r="97" spans="1:24" x14ac:dyDescent="0.25">
      <c r="A97" s="6"/>
      <c r="B97" s="6" t="str">
        <f t="shared" si="19"/>
        <v/>
      </c>
      <c r="C97" s="6" t="str">
        <f t="shared" si="20"/>
        <v/>
      </c>
      <c r="D97" s="6"/>
      <c r="E97" s="6"/>
      <c r="F97" s="6"/>
      <c r="G97" s="6"/>
      <c r="H97" s="6" t="str">
        <f t="shared" si="21"/>
        <v/>
      </c>
      <c r="I97" s="6" t="str">
        <f t="shared" ca="1" si="22"/>
        <v/>
      </c>
      <c r="J97" s="3" t="str">
        <f t="shared" si="23"/>
        <v/>
      </c>
      <c r="K97" s="6" t="str">
        <f>IF(A97="","",VLOOKUP(J97,[1]Initiated!$A:$Y,2,0))</f>
        <v/>
      </c>
      <c r="L97" s="2" t="str">
        <f>IF(A97="","",VLOOKUP(J97,[1]Initiated!$A:$Y,5,FALSE))</f>
        <v/>
      </c>
      <c r="M97" s="6" t="str">
        <f>IF(A97="","",VLOOKUP(J97,[1]Initiated!$A:$Y,6,FALSE))</f>
        <v/>
      </c>
      <c r="N97" s="6" t="str">
        <f>IF(A97="","",VLOOKUP(J97,[1]Initiated!$A:$Y,9,FALSE))</f>
        <v/>
      </c>
      <c r="O97" s="3" t="str">
        <f t="shared" si="24"/>
        <v/>
      </c>
      <c r="P97" s="6" t="str">
        <f>IF(OR(A97="", ISNUMBER(SEARCH("PFr", C97))), "", VLOOKUP(J97, [1]Initiated!$A:$Y, 7, FALSE))</f>
        <v/>
      </c>
      <c r="Q97" s="6" t="str">
        <f>IF(OR(A97="", ISNUMBER(SEARCH("PFr", C97))), "", VLOOKUP(J97, [1]Initiated!$A:$Y, 8, 0))</f>
        <v/>
      </c>
      <c r="R97" s="5" t="str">
        <f t="shared" si="25"/>
        <v/>
      </c>
      <c r="S97" s="4" t="str">
        <f>IF(A97="","",VLOOKUP(J97,[1]Initiated!$A:$Y,3,FALSE))</f>
        <v/>
      </c>
      <c r="T97" s="4" t="str">
        <f t="shared" ca="1" si="26"/>
        <v/>
      </c>
      <c r="U97" s="5" t="str">
        <f t="shared" si="27"/>
        <v/>
      </c>
      <c r="V97" s="5" t="str">
        <f t="shared" si="28"/>
        <v/>
      </c>
      <c r="W97" s="4" t="str">
        <f>IF(A97="","",VLOOKUP(J97,[1]Initiated!$A:$Y,10,0))</f>
        <v/>
      </c>
      <c r="X97" s="5" t="str">
        <f t="shared" si="29"/>
        <v/>
      </c>
    </row>
    <row r="98" spans="1:24" x14ac:dyDescent="0.25">
      <c r="A98" s="6"/>
      <c r="B98" s="6" t="str">
        <f t="shared" si="19"/>
        <v/>
      </c>
      <c r="C98" s="6" t="str">
        <f t="shared" si="20"/>
        <v/>
      </c>
      <c r="D98" s="6"/>
      <c r="E98" s="6"/>
      <c r="F98" s="6"/>
      <c r="G98" s="6"/>
      <c r="H98" s="6" t="str">
        <f t="shared" si="21"/>
        <v/>
      </c>
      <c r="I98" s="6" t="str">
        <f t="shared" ca="1" si="22"/>
        <v/>
      </c>
      <c r="J98" s="3" t="str">
        <f t="shared" si="23"/>
        <v/>
      </c>
      <c r="K98" s="6" t="str">
        <f>IF(A98="","",VLOOKUP(J98,[1]Initiated!$A:$Y,2,0))</f>
        <v/>
      </c>
      <c r="L98" s="2" t="str">
        <f>IF(A98="","",VLOOKUP(J98,[1]Initiated!$A:$Y,5,FALSE))</f>
        <v/>
      </c>
      <c r="M98" s="6" t="str">
        <f>IF(A98="","",VLOOKUP(J98,[1]Initiated!$A:$Y,6,FALSE))</f>
        <v/>
      </c>
      <c r="N98" s="6" t="str">
        <f>IF(A98="","",VLOOKUP(J98,[1]Initiated!$A:$Y,9,FALSE))</f>
        <v/>
      </c>
      <c r="O98" s="3" t="str">
        <f t="shared" si="24"/>
        <v/>
      </c>
      <c r="P98" s="6" t="str">
        <f>IF(OR(A98="", ISNUMBER(SEARCH("PFr", C98))), "", VLOOKUP(J98, [1]Initiated!$A:$Y, 7, FALSE))</f>
        <v/>
      </c>
      <c r="Q98" s="6" t="str">
        <f>IF(OR(A98="", ISNUMBER(SEARCH("PFr", C98))), "", VLOOKUP(J98, [1]Initiated!$A:$Y, 8, 0))</f>
        <v/>
      </c>
      <c r="R98" s="5" t="str">
        <f t="shared" si="25"/>
        <v/>
      </c>
      <c r="S98" s="4" t="str">
        <f>IF(A98="","",VLOOKUP(J98,[1]Initiated!$A:$Y,3,FALSE))</f>
        <v/>
      </c>
      <c r="T98" s="4" t="str">
        <f t="shared" ca="1" si="26"/>
        <v/>
      </c>
      <c r="U98" s="5" t="str">
        <f t="shared" si="27"/>
        <v/>
      </c>
      <c r="V98" s="5" t="str">
        <f t="shared" si="28"/>
        <v/>
      </c>
      <c r="W98" s="4" t="str">
        <f>IF(A98="","",VLOOKUP(J98,[1]Initiated!$A:$Y,10,0))</f>
        <v/>
      </c>
      <c r="X98" s="5" t="str">
        <f t="shared" si="29"/>
        <v/>
      </c>
    </row>
    <row r="99" spans="1:24" x14ac:dyDescent="0.25">
      <c r="A99" s="6"/>
      <c r="B99" s="6" t="str">
        <f t="shared" si="19"/>
        <v/>
      </c>
      <c r="C99" s="6" t="str">
        <f t="shared" si="20"/>
        <v/>
      </c>
      <c r="D99" s="6"/>
      <c r="E99" s="6"/>
      <c r="F99" s="6"/>
      <c r="G99" s="6"/>
      <c r="H99" s="6" t="str">
        <f t="shared" si="21"/>
        <v/>
      </c>
      <c r="I99" s="6" t="str">
        <f t="shared" ca="1" si="22"/>
        <v/>
      </c>
      <c r="J99" s="3" t="str">
        <f t="shared" si="23"/>
        <v/>
      </c>
      <c r="K99" s="6" t="str">
        <f>IF(A99="","",VLOOKUP(J99,[1]Initiated!$A:$Y,2,0))</f>
        <v/>
      </c>
      <c r="L99" s="2" t="str">
        <f>IF(A99="","",VLOOKUP(J99,[1]Initiated!$A:$Y,5,FALSE))</f>
        <v/>
      </c>
      <c r="M99" s="6" t="str">
        <f>IF(A99="","",VLOOKUP(J99,[1]Initiated!$A:$Y,6,FALSE))</f>
        <v/>
      </c>
      <c r="N99" s="6" t="str">
        <f>IF(A99="","",VLOOKUP(J99,[1]Initiated!$A:$Y,9,FALSE))</f>
        <v/>
      </c>
      <c r="O99" s="3" t="str">
        <f t="shared" si="24"/>
        <v/>
      </c>
      <c r="P99" s="6" t="str">
        <f>IF(OR(A99="", ISNUMBER(SEARCH("PFr", C99))), "", VLOOKUP(J99, [1]Initiated!$A:$Y, 7, FALSE))</f>
        <v/>
      </c>
      <c r="Q99" s="6" t="str">
        <f>IF(OR(A99="", ISNUMBER(SEARCH("PFr", C99))), "", VLOOKUP(J99, [1]Initiated!$A:$Y, 8, 0))</f>
        <v/>
      </c>
      <c r="R99" s="5" t="str">
        <f t="shared" si="25"/>
        <v/>
      </c>
      <c r="S99" s="4" t="str">
        <f>IF(A99="","",VLOOKUP(J99,[1]Initiated!$A:$Y,3,FALSE))</f>
        <v/>
      </c>
      <c r="T99" s="4" t="str">
        <f t="shared" ca="1" si="26"/>
        <v/>
      </c>
      <c r="U99" s="5" t="str">
        <f t="shared" si="27"/>
        <v/>
      </c>
      <c r="V99" s="5" t="str">
        <f t="shared" si="28"/>
        <v/>
      </c>
      <c r="W99" s="4" t="str">
        <f>IF(A99="","",VLOOKUP(J99,[1]Initiated!$A:$Y,10,0))</f>
        <v/>
      </c>
      <c r="X99" s="5" t="str">
        <f t="shared" si="29"/>
        <v/>
      </c>
    </row>
    <row r="100" spans="1:24" x14ac:dyDescent="0.25">
      <c r="A100" s="6"/>
      <c r="B100" s="6" t="str">
        <f t="shared" si="19"/>
        <v/>
      </c>
      <c r="C100" s="6" t="str">
        <f t="shared" si="20"/>
        <v/>
      </c>
      <c r="D100" s="6"/>
      <c r="E100" s="6"/>
      <c r="F100" s="6"/>
      <c r="G100" s="6"/>
      <c r="H100" s="6" t="str">
        <f t="shared" si="21"/>
        <v/>
      </c>
      <c r="I100" s="6" t="str">
        <f t="shared" ca="1" si="22"/>
        <v/>
      </c>
      <c r="J100" s="3" t="str">
        <f t="shared" si="23"/>
        <v/>
      </c>
      <c r="K100" s="6" t="str">
        <f>IF(A100="","",VLOOKUP(J100,[1]Initiated!$A:$Y,2,0))</f>
        <v/>
      </c>
      <c r="L100" s="2" t="str">
        <f>IF(A100="","",VLOOKUP(J100,[1]Initiated!$A:$Y,5,FALSE))</f>
        <v/>
      </c>
      <c r="M100" s="6" t="str">
        <f>IF(A100="","",VLOOKUP(J100,[1]Initiated!$A:$Y,6,FALSE))</f>
        <v/>
      </c>
      <c r="N100" s="6" t="str">
        <f>IF(A100="","",VLOOKUP(J100,[1]Initiated!$A:$Y,9,FALSE))</f>
        <v/>
      </c>
      <c r="O100" s="3" t="str">
        <f t="shared" si="24"/>
        <v/>
      </c>
      <c r="P100" s="6" t="str">
        <f>IF(OR(A100="", ISNUMBER(SEARCH("PFr", C100))), "", VLOOKUP(J100, [1]Initiated!$A:$Y, 7, FALSE))</f>
        <v/>
      </c>
      <c r="Q100" s="6" t="str">
        <f>IF(OR(A100="", ISNUMBER(SEARCH("PFr", C100))), "", VLOOKUP(J100, [1]Initiated!$A:$Y, 8, 0))</f>
        <v/>
      </c>
      <c r="R100" s="5" t="str">
        <f t="shared" si="25"/>
        <v/>
      </c>
      <c r="S100" s="4" t="str">
        <f>IF(A100="","",VLOOKUP(J100,[1]Initiated!$A:$Y,3,FALSE))</f>
        <v/>
      </c>
      <c r="T100" s="4" t="str">
        <f t="shared" ca="1" si="26"/>
        <v/>
      </c>
      <c r="U100" s="5" t="str">
        <f t="shared" si="27"/>
        <v/>
      </c>
      <c r="V100" s="5" t="str">
        <f t="shared" si="28"/>
        <v/>
      </c>
      <c r="W100" s="4" t="str">
        <f>IF(A100="","",VLOOKUP(J100,[1]Initiated!$A:$Y,10,0))</f>
        <v/>
      </c>
      <c r="X100" s="5" t="str">
        <f t="shared" si="29"/>
        <v/>
      </c>
    </row>
    <row r="101" spans="1:24" x14ac:dyDescent="0.25">
      <c r="A101" s="6"/>
      <c r="B101" s="6" t="str">
        <f t="shared" si="19"/>
        <v/>
      </c>
      <c r="C101" s="6" t="str">
        <f t="shared" si="20"/>
        <v/>
      </c>
      <c r="D101" s="6"/>
      <c r="E101" s="6"/>
      <c r="F101" s="6"/>
      <c r="G101" s="6"/>
      <c r="H101" s="6" t="str">
        <f t="shared" si="21"/>
        <v/>
      </c>
      <c r="I101" s="6" t="str">
        <f t="shared" ca="1" si="22"/>
        <v/>
      </c>
      <c r="J101" s="3" t="str">
        <f t="shared" si="23"/>
        <v/>
      </c>
      <c r="K101" s="6" t="str">
        <f>IF(A101="","",VLOOKUP(J101,[1]Initiated!$A:$Y,2,0))</f>
        <v/>
      </c>
      <c r="L101" s="2" t="str">
        <f>IF(A101="","",VLOOKUP(J101,[1]Initiated!$A:$Y,5,FALSE))</f>
        <v/>
      </c>
      <c r="M101" s="6" t="str">
        <f>IF(A101="","",VLOOKUP(J101,[1]Initiated!$A:$Y,6,FALSE))</f>
        <v/>
      </c>
      <c r="N101" s="6" t="str">
        <f>IF(A101="","",VLOOKUP(J101,[1]Initiated!$A:$Y,9,FALSE))</f>
        <v/>
      </c>
      <c r="O101" s="3" t="str">
        <f t="shared" si="24"/>
        <v/>
      </c>
      <c r="P101" s="6" t="str">
        <f>IF(OR(A101="", ISNUMBER(SEARCH("PFr", C101))), "", VLOOKUP(J101, [1]Initiated!$A:$Y, 7, FALSE))</f>
        <v/>
      </c>
      <c r="Q101" s="6" t="str">
        <f>IF(OR(A101="", ISNUMBER(SEARCH("PFr", C101))), "", VLOOKUP(J101, [1]Initiated!$A:$Y, 8, 0))</f>
        <v/>
      </c>
      <c r="R101" s="5" t="str">
        <f t="shared" si="25"/>
        <v/>
      </c>
      <c r="S101" s="4" t="str">
        <f>IF(A101="","",VLOOKUP(J101,[1]Initiated!$A:$Y,3,FALSE))</f>
        <v/>
      </c>
      <c r="T101" s="4" t="str">
        <f t="shared" ca="1" si="26"/>
        <v/>
      </c>
      <c r="U101" s="5" t="str">
        <f t="shared" si="27"/>
        <v/>
      </c>
      <c r="V101" s="5" t="str">
        <f t="shared" si="28"/>
        <v/>
      </c>
      <c r="W101" s="4" t="str">
        <f>IF(A101="","",VLOOKUP(J101,[1]Initiated!$A:$Y,10,0))</f>
        <v/>
      </c>
      <c r="X101" s="5" t="str">
        <f t="shared" si="29"/>
        <v/>
      </c>
    </row>
    <row r="102" spans="1:24" x14ac:dyDescent="0.25">
      <c r="A102" s="6"/>
      <c r="B102" s="6" t="str">
        <f t="shared" si="19"/>
        <v/>
      </c>
      <c r="C102" s="6" t="str">
        <f t="shared" si="20"/>
        <v/>
      </c>
      <c r="D102" s="6"/>
      <c r="E102" s="6"/>
      <c r="F102" s="6"/>
      <c r="G102" s="6"/>
      <c r="H102" s="6" t="str">
        <f t="shared" si="21"/>
        <v/>
      </c>
      <c r="I102" s="6" t="str">
        <f t="shared" ca="1" si="22"/>
        <v/>
      </c>
      <c r="J102" s="3" t="str">
        <f t="shared" si="23"/>
        <v/>
      </c>
      <c r="K102" s="6" t="str">
        <f>IF(A102="","",VLOOKUP(J102,[1]Initiated!$A:$Y,2,0))</f>
        <v/>
      </c>
      <c r="L102" s="2" t="str">
        <f>IF(A102="","",VLOOKUP(J102,[1]Initiated!$A:$Y,5,FALSE))</f>
        <v/>
      </c>
      <c r="M102" s="6" t="str">
        <f>IF(A102="","",VLOOKUP(J102,[1]Initiated!$A:$Y,6,FALSE))</f>
        <v/>
      </c>
      <c r="N102" s="6" t="str">
        <f>IF(A102="","",VLOOKUP(J102,[1]Initiated!$A:$Y,9,FALSE))</f>
        <v/>
      </c>
      <c r="O102" s="3" t="str">
        <f t="shared" si="24"/>
        <v/>
      </c>
      <c r="P102" s="6" t="str">
        <f>IF(OR(A102="", ISNUMBER(SEARCH("PFr", C102))), "", VLOOKUP(J102, [1]Initiated!$A:$Y, 7, FALSE))</f>
        <v/>
      </c>
      <c r="Q102" s="6" t="str">
        <f>IF(OR(A102="", ISNUMBER(SEARCH("PFr", C102))), "", VLOOKUP(J102, [1]Initiated!$A:$Y, 8, 0))</f>
        <v/>
      </c>
      <c r="R102" s="5" t="str">
        <f t="shared" si="25"/>
        <v/>
      </c>
      <c r="S102" s="4" t="str">
        <f>IF(A102="","",VLOOKUP(J102,[1]Initiated!$A:$Y,3,FALSE))</f>
        <v/>
      </c>
      <c r="T102" s="4" t="str">
        <f t="shared" ca="1" si="26"/>
        <v/>
      </c>
      <c r="U102" s="5" t="str">
        <f t="shared" si="27"/>
        <v/>
      </c>
      <c r="V102" s="5" t="str">
        <f t="shared" si="28"/>
        <v/>
      </c>
      <c r="W102" s="4" t="str">
        <f>IF(A102="","",VLOOKUP(J102,[1]Initiated!$A:$Y,10,0))</f>
        <v/>
      </c>
      <c r="X102" s="5" t="str">
        <f t="shared" si="29"/>
        <v/>
      </c>
    </row>
    <row r="103" spans="1:24" x14ac:dyDescent="0.25">
      <c r="A103" s="6"/>
      <c r="B103" s="6" t="str">
        <f t="shared" si="19"/>
        <v/>
      </c>
      <c r="C103" s="6" t="str">
        <f t="shared" si="20"/>
        <v/>
      </c>
      <c r="D103" s="6"/>
      <c r="E103" s="6"/>
      <c r="F103" s="6"/>
      <c r="G103" s="6"/>
      <c r="H103" s="6" t="str">
        <f t="shared" si="21"/>
        <v/>
      </c>
      <c r="I103" s="6" t="str">
        <f t="shared" ca="1" si="22"/>
        <v/>
      </c>
      <c r="J103" s="3" t="str">
        <f t="shared" si="23"/>
        <v/>
      </c>
      <c r="K103" s="6" t="str">
        <f>IF(A103="","",VLOOKUP(J103,[1]Initiated!$A:$Y,2,0))</f>
        <v/>
      </c>
      <c r="L103" s="2" t="str">
        <f>IF(A103="","",VLOOKUP(J103,[1]Initiated!$A:$Y,5,FALSE))</f>
        <v/>
      </c>
      <c r="M103" s="6" t="str">
        <f>IF(A103="","",VLOOKUP(J103,[1]Initiated!$A:$Y,6,FALSE))</f>
        <v/>
      </c>
      <c r="N103" s="6" t="str">
        <f>IF(A103="","",VLOOKUP(J103,[1]Initiated!$A:$Y,9,FALSE))</f>
        <v/>
      </c>
      <c r="O103" s="3" t="str">
        <f t="shared" si="24"/>
        <v/>
      </c>
      <c r="P103" s="6" t="str">
        <f>IF(OR(A103="", ISNUMBER(SEARCH("PFr", C103))), "", VLOOKUP(J103, [1]Initiated!$A:$Y, 7, FALSE))</f>
        <v/>
      </c>
      <c r="Q103" s="6" t="str">
        <f>IF(OR(A103="", ISNUMBER(SEARCH("PFr", C103))), "", VLOOKUP(J103, [1]Initiated!$A:$Y, 8, 0))</f>
        <v/>
      </c>
      <c r="R103" s="5" t="str">
        <f t="shared" si="25"/>
        <v/>
      </c>
      <c r="S103" s="4" t="str">
        <f>IF(A103="","",VLOOKUP(J103,[1]Initiated!$A:$Y,3,FALSE))</f>
        <v/>
      </c>
      <c r="T103" s="4" t="str">
        <f t="shared" ca="1" si="26"/>
        <v/>
      </c>
      <c r="U103" s="5" t="str">
        <f t="shared" si="27"/>
        <v/>
      </c>
      <c r="V103" s="5" t="str">
        <f t="shared" si="28"/>
        <v/>
      </c>
      <c r="W103" s="4" t="str">
        <f>IF(A103="","",VLOOKUP(J103,[1]Initiated!$A:$Y,10,0))</f>
        <v/>
      </c>
      <c r="X103" s="5" t="str">
        <f t="shared" si="29"/>
        <v/>
      </c>
    </row>
    <row r="104" spans="1:24" x14ac:dyDescent="0.25">
      <c r="A104" s="6"/>
      <c r="B104" s="6" t="str">
        <f t="shared" si="19"/>
        <v/>
      </c>
      <c r="C104" s="6" t="str">
        <f t="shared" si="20"/>
        <v/>
      </c>
      <c r="D104" s="6"/>
      <c r="E104" s="6"/>
      <c r="F104" s="6"/>
      <c r="G104" s="6"/>
      <c r="H104" s="6" t="str">
        <f t="shared" si="21"/>
        <v/>
      </c>
      <c r="I104" s="6" t="str">
        <f t="shared" ca="1" si="22"/>
        <v/>
      </c>
      <c r="J104" s="3" t="str">
        <f t="shared" si="23"/>
        <v/>
      </c>
      <c r="K104" s="6" t="str">
        <f>IF(A104="","",VLOOKUP(J104,[1]Initiated!$A:$Y,2,0))</f>
        <v/>
      </c>
      <c r="L104" s="2" t="str">
        <f>IF(A104="","",VLOOKUP(J104,[1]Initiated!$A:$Y,5,FALSE))</f>
        <v/>
      </c>
      <c r="M104" s="6" t="str">
        <f>IF(A104="","",VLOOKUP(J104,[1]Initiated!$A:$Y,6,FALSE))</f>
        <v/>
      </c>
      <c r="N104" s="6" t="str">
        <f>IF(A104="","",VLOOKUP(J104,[1]Initiated!$A:$Y,9,FALSE))</f>
        <v/>
      </c>
      <c r="O104" s="3" t="str">
        <f t="shared" si="24"/>
        <v/>
      </c>
      <c r="P104" s="6" t="str">
        <f>IF(OR(A104="", ISNUMBER(SEARCH("PFr", C104))), "", VLOOKUP(J104, [1]Initiated!$A:$Y, 7, FALSE))</f>
        <v/>
      </c>
      <c r="Q104" s="6" t="str">
        <f>IF(OR(A104="", ISNUMBER(SEARCH("PFr", C104))), "", VLOOKUP(J104, [1]Initiated!$A:$Y, 8, 0))</f>
        <v/>
      </c>
      <c r="R104" s="5" t="str">
        <f t="shared" si="25"/>
        <v/>
      </c>
      <c r="S104" s="4" t="str">
        <f>IF(A104="","",VLOOKUP(J104,[1]Initiated!$A:$Y,3,FALSE))</f>
        <v/>
      </c>
      <c r="T104" s="4" t="str">
        <f t="shared" ca="1" si="26"/>
        <v/>
      </c>
      <c r="U104" s="5" t="str">
        <f t="shared" si="27"/>
        <v/>
      </c>
      <c r="V104" s="5" t="str">
        <f t="shared" si="28"/>
        <v/>
      </c>
      <c r="W104" s="4" t="str">
        <f>IF(A104="","",VLOOKUP(J104,[1]Initiated!$A:$Y,10,0))</f>
        <v/>
      </c>
      <c r="X104" s="5" t="str">
        <f t="shared" si="29"/>
        <v/>
      </c>
    </row>
    <row r="105" spans="1:24" x14ac:dyDescent="0.25">
      <c r="A105" s="6"/>
      <c r="B105" s="6" t="str">
        <f t="shared" si="19"/>
        <v/>
      </c>
      <c r="C105" s="6" t="str">
        <f t="shared" si="20"/>
        <v/>
      </c>
      <c r="D105" s="6"/>
      <c r="E105" s="6"/>
      <c r="F105" s="6"/>
      <c r="G105" s="6"/>
      <c r="H105" s="6" t="str">
        <f t="shared" si="21"/>
        <v/>
      </c>
      <c r="I105" s="6" t="str">
        <f t="shared" ca="1" si="22"/>
        <v/>
      </c>
      <c r="J105" s="3" t="str">
        <f t="shared" si="23"/>
        <v/>
      </c>
      <c r="K105" s="6" t="str">
        <f>IF(A105="","",VLOOKUP(J105,[1]Initiated!$A:$Y,2,0))</f>
        <v/>
      </c>
      <c r="L105" s="2" t="str">
        <f>IF(A105="","",VLOOKUP(J105,[1]Initiated!$A:$Y,5,FALSE))</f>
        <v/>
      </c>
      <c r="M105" s="6" t="str">
        <f>IF(A105="","",VLOOKUP(J105,[1]Initiated!$A:$Y,6,FALSE))</f>
        <v/>
      </c>
      <c r="N105" s="6" t="str">
        <f>IF(A105="","",VLOOKUP(J105,[1]Initiated!$A:$Y,9,FALSE))</f>
        <v/>
      </c>
      <c r="O105" s="3" t="str">
        <f t="shared" si="24"/>
        <v/>
      </c>
      <c r="P105" s="6" t="str">
        <f>IF(OR(A105="", ISNUMBER(SEARCH("PFr", C105))), "", VLOOKUP(J105, [1]Initiated!$A:$Y, 7, FALSE))</f>
        <v/>
      </c>
      <c r="Q105" s="6" t="str">
        <f>IF(OR(A105="", ISNUMBER(SEARCH("PFr", C105))), "", VLOOKUP(J105, [1]Initiated!$A:$Y, 8, 0))</f>
        <v/>
      </c>
      <c r="R105" s="5" t="str">
        <f t="shared" si="25"/>
        <v/>
      </c>
      <c r="S105" s="4" t="str">
        <f>IF(A105="","",VLOOKUP(J105,[1]Initiated!$A:$Y,3,FALSE))</f>
        <v/>
      </c>
      <c r="T105" s="4" t="str">
        <f t="shared" ca="1" si="26"/>
        <v/>
      </c>
      <c r="U105" s="5" t="str">
        <f t="shared" si="27"/>
        <v/>
      </c>
      <c r="V105" s="5" t="str">
        <f t="shared" si="28"/>
        <v/>
      </c>
      <c r="W105" s="4" t="str">
        <f>IF(A105="","",VLOOKUP(J105,[1]Initiated!$A:$Y,10,0))</f>
        <v/>
      </c>
      <c r="X105" s="5" t="str">
        <f t="shared" si="29"/>
        <v/>
      </c>
    </row>
    <row r="106" spans="1:24" x14ac:dyDescent="0.25">
      <c r="A106" s="6"/>
      <c r="B106" s="6" t="str">
        <f t="shared" si="19"/>
        <v/>
      </c>
      <c r="C106" s="6" t="str">
        <f t="shared" si="20"/>
        <v/>
      </c>
      <c r="D106" s="6"/>
      <c r="E106" s="6"/>
      <c r="F106" s="6"/>
      <c r="G106" s="6"/>
      <c r="H106" s="6" t="str">
        <f t="shared" si="21"/>
        <v/>
      </c>
      <c r="I106" s="6" t="str">
        <f t="shared" ca="1" si="22"/>
        <v/>
      </c>
      <c r="J106" s="3" t="str">
        <f t="shared" si="23"/>
        <v/>
      </c>
      <c r="K106" s="6" t="str">
        <f>IF(A106="","",VLOOKUP(J106,[1]Initiated!$A:$Y,2,0))</f>
        <v/>
      </c>
      <c r="L106" s="2" t="str">
        <f>IF(A106="","",VLOOKUP(J106,[1]Initiated!$A:$Y,5,FALSE))</f>
        <v/>
      </c>
      <c r="M106" s="6" t="str">
        <f>IF(A106="","",VLOOKUP(J106,[1]Initiated!$A:$Y,6,FALSE))</f>
        <v/>
      </c>
      <c r="N106" s="6" t="str">
        <f>IF(A106="","",VLOOKUP(J106,[1]Initiated!$A:$Y,9,FALSE))</f>
        <v/>
      </c>
      <c r="O106" s="3" t="str">
        <f t="shared" si="24"/>
        <v/>
      </c>
      <c r="P106" s="6" t="str">
        <f>IF(OR(A106="", ISNUMBER(SEARCH("PFr", C106))), "", VLOOKUP(J106, [1]Initiated!$A:$Y, 7, FALSE))</f>
        <v/>
      </c>
      <c r="Q106" s="6" t="str">
        <f>IF(OR(A106="", ISNUMBER(SEARCH("PFr", C106))), "", VLOOKUP(J106, [1]Initiated!$A:$Y, 8, 0))</f>
        <v/>
      </c>
      <c r="R106" s="5" t="str">
        <f t="shared" si="25"/>
        <v/>
      </c>
      <c r="S106" s="4" t="str">
        <f>IF(A106="","",VLOOKUP(J106,[1]Initiated!$A:$Y,3,FALSE))</f>
        <v/>
      </c>
      <c r="T106" s="4" t="str">
        <f t="shared" ca="1" si="26"/>
        <v/>
      </c>
      <c r="U106" s="5" t="str">
        <f t="shared" si="27"/>
        <v/>
      </c>
      <c r="V106" s="5" t="str">
        <f t="shared" si="28"/>
        <v/>
      </c>
      <c r="W106" s="4" t="str">
        <f>IF(A106="","",VLOOKUP(J106,[1]Initiated!$A:$Y,10,0))</f>
        <v/>
      </c>
      <c r="X106" s="5" t="str">
        <f t="shared" si="29"/>
        <v/>
      </c>
    </row>
    <row r="107" spans="1:24" x14ac:dyDescent="0.25">
      <c r="A107" s="6"/>
      <c r="B107" s="6" t="str">
        <f t="shared" si="19"/>
        <v/>
      </c>
      <c r="C107" s="6" t="str">
        <f t="shared" si="20"/>
        <v/>
      </c>
      <c r="D107" s="6"/>
      <c r="E107" s="6"/>
      <c r="F107" s="6"/>
      <c r="G107" s="6"/>
      <c r="H107" s="6" t="str">
        <f t="shared" si="21"/>
        <v/>
      </c>
      <c r="I107" s="6" t="str">
        <f t="shared" ca="1" si="22"/>
        <v/>
      </c>
      <c r="J107" s="3" t="str">
        <f t="shared" si="23"/>
        <v/>
      </c>
      <c r="K107" s="6" t="str">
        <f>IF(A107="","",VLOOKUP(J107,[1]Initiated!$A:$Y,2,0))</f>
        <v/>
      </c>
      <c r="L107" s="2" t="str">
        <f>IF(A107="","",VLOOKUP(J107,[1]Initiated!$A:$Y,5,FALSE))</f>
        <v/>
      </c>
      <c r="M107" s="6" t="str">
        <f>IF(A107="","",VLOOKUP(J107,[1]Initiated!$A:$Y,6,FALSE))</f>
        <v/>
      </c>
      <c r="N107" s="6" t="str">
        <f>IF(A107="","",VLOOKUP(J107,[1]Initiated!$A:$Y,9,FALSE))</f>
        <v/>
      </c>
      <c r="O107" s="3" t="str">
        <f t="shared" si="24"/>
        <v/>
      </c>
      <c r="P107" s="6" t="str">
        <f>IF(OR(A107="", ISNUMBER(SEARCH("PFr", C107))), "", VLOOKUP(J107, [1]Initiated!$A:$Y, 7, FALSE))</f>
        <v/>
      </c>
      <c r="Q107" s="6" t="str">
        <f>IF(OR(A107="", ISNUMBER(SEARCH("PFr", C107))), "", VLOOKUP(J107, [1]Initiated!$A:$Y, 8, 0))</f>
        <v/>
      </c>
      <c r="R107" s="5" t="str">
        <f t="shared" si="25"/>
        <v/>
      </c>
      <c r="S107" s="4" t="str">
        <f>IF(A107="","",VLOOKUP(J107,[1]Initiated!$A:$Y,3,FALSE))</f>
        <v/>
      </c>
      <c r="T107" s="4" t="str">
        <f t="shared" ca="1" si="26"/>
        <v/>
      </c>
      <c r="U107" s="5" t="str">
        <f t="shared" si="27"/>
        <v/>
      </c>
      <c r="V107" s="5" t="str">
        <f t="shared" si="28"/>
        <v/>
      </c>
      <c r="W107" s="4" t="str">
        <f>IF(A107="","",VLOOKUP(J107,[1]Initiated!$A:$Y,10,0))</f>
        <v/>
      </c>
      <c r="X107" s="5" t="str">
        <f t="shared" si="29"/>
        <v/>
      </c>
    </row>
    <row r="108" spans="1:24" x14ac:dyDescent="0.25">
      <c r="A108" s="6"/>
      <c r="B108" s="6" t="str">
        <f t="shared" si="19"/>
        <v/>
      </c>
      <c r="C108" s="6" t="str">
        <f t="shared" si="20"/>
        <v/>
      </c>
      <c r="D108" s="6"/>
      <c r="E108" s="6"/>
      <c r="F108" s="6"/>
      <c r="G108" s="6"/>
      <c r="H108" s="6" t="str">
        <f t="shared" si="21"/>
        <v/>
      </c>
      <c r="I108" s="6" t="str">
        <f t="shared" ca="1" si="22"/>
        <v/>
      </c>
      <c r="J108" s="3" t="str">
        <f t="shared" si="23"/>
        <v/>
      </c>
      <c r="K108" s="6" t="str">
        <f>IF(A108="","",VLOOKUP(J108,[1]Initiated!$A:$Y,2,0))</f>
        <v/>
      </c>
      <c r="L108" s="2" t="str">
        <f>IF(A108="","",VLOOKUP(J108,[1]Initiated!$A:$Y,5,FALSE))</f>
        <v/>
      </c>
      <c r="M108" s="6" t="str">
        <f>IF(A108="","",VLOOKUP(J108,[1]Initiated!$A:$Y,6,FALSE))</f>
        <v/>
      </c>
      <c r="N108" s="6" t="str">
        <f>IF(A108="","",VLOOKUP(J108,[1]Initiated!$A:$Y,9,FALSE))</f>
        <v/>
      </c>
      <c r="O108" s="3" t="str">
        <f t="shared" si="24"/>
        <v/>
      </c>
      <c r="P108" s="6" t="str">
        <f>IF(OR(A108="", ISNUMBER(SEARCH("PFr", C108))), "", VLOOKUP(J108, [1]Initiated!$A:$Y, 7, FALSE))</f>
        <v/>
      </c>
      <c r="Q108" s="6" t="str">
        <f>IF(OR(A108="", ISNUMBER(SEARCH("PFr", C108))), "", VLOOKUP(J108, [1]Initiated!$A:$Y, 8, 0))</f>
        <v/>
      </c>
      <c r="R108" s="5" t="str">
        <f t="shared" si="25"/>
        <v/>
      </c>
      <c r="S108" s="4" t="str">
        <f>IF(A108="","",VLOOKUP(J108,[1]Initiated!$A:$Y,3,FALSE))</f>
        <v/>
      </c>
      <c r="T108" s="4" t="str">
        <f t="shared" ca="1" si="26"/>
        <v/>
      </c>
      <c r="U108" s="5" t="str">
        <f t="shared" si="27"/>
        <v/>
      </c>
      <c r="V108" s="5" t="str">
        <f t="shared" si="28"/>
        <v/>
      </c>
      <c r="W108" s="4" t="str">
        <f>IF(A108="","",VLOOKUP(J108,[1]Initiated!$A:$Y,10,0))</f>
        <v/>
      </c>
      <c r="X108" s="5" t="str">
        <f t="shared" si="29"/>
        <v/>
      </c>
    </row>
    <row r="109" spans="1:24" x14ac:dyDescent="0.25">
      <c r="A109" s="6"/>
      <c r="B109" s="6" t="str">
        <f t="shared" si="19"/>
        <v/>
      </c>
      <c r="C109" s="6" t="str">
        <f t="shared" si="20"/>
        <v/>
      </c>
      <c r="D109" s="6"/>
      <c r="E109" s="6"/>
      <c r="F109" s="6"/>
      <c r="G109" s="6"/>
      <c r="H109" s="6" t="str">
        <f t="shared" si="21"/>
        <v/>
      </c>
      <c r="I109" s="6" t="str">
        <f t="shared" ca="1" si="22"/>
        <v/>
      </c>
      <c r="J109" s="3" t="str">
        <f t="shared" si="23"/>
        <v/>
      </c>
      <c r="K109" s="6" t="str">
        <f>IF(A109="","",VLOOKUP(J109,[1]Initiated!$A:$Y,2,0))</f>
        <v/>
      </c>
      <c r="L109" s="2" t="str">
        <f>IF(A109="","",VLOOKUP(J109,[1]Initiated!$A:$Y,5,FALSE))</f>
        <v/>
      </c>
      <c r="M109" s="6" t="str">
        <f>IF(A109="","",VLOOKUP(J109,[1]Initiated!$A:$Y,6,FALSE))</f>
        <v/>
      </c>
      <c r="N109" s="6" t="str">
        <f>IF(A109="","",VLOOKUP(J109,[1]Initiated!$A:$Y,9,FALSE))</f>
        <v/>
      </c>
      <c r="O109" s="3" t="str">
        <f t="shared" si="24"/>
        <v/>
      </c>
      <c r="P109" s="6" t="str">
        <f>IF(OR(A109="", ISNUMBER(SEARCH("PFr", C109))), "", VLOOKUP(J109, [1]Initiated!$A:$Y, 7, FALSE))</f>
        <v/>
      </c>
      <c r="Q109" s="6" t="str">
        <f>IF(OR(A109="", ISNUMBER(SEARCH("PFr", C109))), "", VLOOKUP(J109, [1]Initiated!$A:$Y, 8, 0))</f>
        <v/>
      </c>
      <c r="R109" s="5" t="str">
        <f t="shared" si="25"/>
        <v/>
      </c>
      <c r="S109" s="4" t="str">
        <f>IF(A109="","",VLOOKUP(J109,[1]Initiated!$A:$Y,3,FALSE))</f>
        <v/>
      </c>
      <c r="T109" s="4" t="str">
        <f t="shared" ca="1" si="26"/>
        <v/>
      </c>
      <c r="U109" s="5" t="str">
        <f t="shared" si="27"/>
        <v/>
      </c>
      <c r="V109" s="5" t="str">
        <f t="shared" si="28"/>
        <v/>
      </c>
      <c r="W109" s="4" t="str">
        <f>IF(A109="","",VLOOKUP(J109,[1]Initiated!$A:$Y,10,0))</f>
        <v/>
      </c>
      <c r="X109" s="5" t="str">
        <f t="shared" si="29"/>
        <v/>
      </c>
    </row>
    <row r="110" spans="1:24" x14ac:dyDescent="0.25">
      <c r="A110" s="6"/>
      <c r="B110" s="6" t="str">
        <f t="shared" si="19"/>
        <v/>
      </c>
      <c r="C110" s="6" t="str">
        <f t="shared" si="20"/>
        <v/>
      </c>
      <c r="D110" s="6"/>
      <c r="E110" s="6"/>
      <c r="F110" s="6"/>
      <c r="G110" s="6"/>
      <c r="H110" s="6" t="str">
        <f t="shared" si="21"/>
        <v/>
      </c>
      <c r="I110" s="6" t="str">
        <f t="shared" ca="1" si="22"/>
        <v/>
      </c>
      <c r="J110" s="3" t="str">
        <f t="shared" si="23"/>
        <v/>
      </c>
      <c r="K110" s="6" t="str">
        <f>IF(A110="","",VLOOKUP(J110,[1]Initiated!$A:$Y,2,0))</f>
        <v/>
      </c>
      <c r="L110" s="2" t="str">
        <f>IF(A110="","",VLOOKUP(J110,[1]Initiated!$A:$Y,5,FALSE))</f>
        <v/>
      </c>
      <c r="M110" s="6" t="str">
        <f>IF(A110="","",VLOOKUP(J110,[1]Initiated!$A:$Y,6,FALSE))</f>
        <v/>
      </c>
      <c r="N110" s="6" t="str">
        <f>IF(A110="","",VLOOKUP(J110,[1]Initiated!$A:$Y,9,FALSE))</f>
        <v/>
      </c>
      <c r="O110" s="3" t="str">
        <f t="shared" si="24"/>
        <v/>
      </c>
      <c r="P110" s="6" t="str">
        <f>IF(OR(A110="", ISNUMBER(SEARCH("PFr", C110))), "", VLOOKUP(J110, [1]Initiated!$A:$Y, 7, FALSE))</f>
        <v/>
      </c>
      <c r="Q110" s="6" t="str">
        <f>IF(OR(A110="", ISNUMBER(SEARCH("PFr", C110))), "", VLOOKUP(J110, [1]Initiated!$A:$Y, 8, 0))</f>
        <v/>
      </c>
      <c r="R110" s="5" t="str">
        <f t="shared" si="25"/>
        <v/>
      </c>
      <c r="S110" s="4" t="str">
        <f>IF(A110="","",VLOOKUP(J110,[1]Initiated!$A:$Y,3,FALSE))</f>
        <v/>
      </c>
      <c r="T110" s="4" t="str">
        <f t="shared" ca="1" si="26"/>
        <v/>
      </c>
      <c r="U110" s="5" t="str">
        <f t="shared" si="27"/>
        <v/>
      </c>
      <c r="V110" s="5" t="str">
        <f t="shared" si="28"/>
        <v/>
      </c>
      <c r="W110" s="4" t="str">
        <f>IF(A110="","",VLOOKUP(J110,[1]Initiated!$A:$Y,10,0))</f>
        <v/>
      </c>
      <c r="X110" s="5" t="str">
        <f t="shared" si="29"/>
        <v/>
      </c>
    </row>
    <row r="111" spans="1:24" x14ac:dyDescent="0.25">
      <c r="A111" s="6"/>
      <c r="B111" s="6" t="str">
        <f t="shared" si="19"/>
        <v/>
      </c>
      <c r="C111" s="6" t="str">
        <f t="shared" si="20"/>
        <v/>
      </c>
      <c r="D111" s="6"/>
      <c r="E111" s="6"/>
      <c r="F111" s="6"/>
      <c r="G111" s="6"/>
      <c r="H111" s="6" t="str">
        <f t="shared" si="21"/>
        <v/>
      </c>
      <c r="I111" s="6" t="str">
        <f t="shared" ca="1" si="22"/>
        <v/>
      </c>
      <c r="J111" s="3" t="str">
        <f t="shared" si="23"/>
        <v/>
      </c>
      <c r="K111" s="6" t="str">
        <f>IF(A111="","",VLOOKUP(J111,[1]Initiated!$A:$Y,2,0))</f>
        <v/>
      </c>
      <c r="L111" s="2" t="str">
        <f>IF(A111="","",VLOOKUP(J111,[1]Initiated!$A:$Y,5,FALSE))</f>
        <v/>
      </c>
      <c r="M111" s="6" t="str">
        <f>IF(A111="","",VLOOKUP(J111,[1]Initiated!$A:$Y,6,FALSE))</f>
        <v/>
      </c>
      <c r="N111" s="6" t="str">
        <f>IF(A111="","",VLOOKUP(J111,[1]Initiated!$A:$Y,9,FALSE))</f>
        <v/>
      </c>
      <c r="O111" s="3" t="str">
        <f t="shared" si="24"/>
        <v/>
      </c>
      <c r="P111" s="6" t="str">
        <f>IF(OR(A111="", ISNUMBER(SEARCH("PFr", C111))), "", VLOOKUP(J111, [1]Initiated!$A:$Y, 7, FALSE))</f>
        <v/>
      </c>
      <c r="Q111" s="6" t="str">
        <f>IF(OR(A111="", ISNUMBER(SEARCH("PFr", C111))), "", VLOOKUP(J111, [1]Initiated!$A:$Y, 8, 0))</f>
        <v/>
      </c>
      <c r="R111" s="5" t="str">
        <f t="shared" si="25"/>
        <v/>
      </c>
      <c r="S111" s="4" t="str">
        <f>IF(A111="","",VLOOKUP(J111,[1]Initiated!$A:$Y,3,FALSE))</f>
        <v/>
      </c>
      <c r="T111" s="4" t="str">
        <f t="shared" ca="1" si="26"/>
        <v/>
      </c>
      <c r="U111" s="5" t="str">
        <f t="shared" si="27"/>
        <v/>
      </c>
      <c r="V111" s="5" t="str">
        <f t="shared" si="28"/>
        <v/>
      </c>
      <c r="W111" s="4" t="str">
        <f>IF(A111="","",VLOOKUP(J111,[1]Initiated!$A:$Y,10,0))</f>
        <v/>
      </c>
      <c r="X111" s="5" t="str">
        <f t="shared" si="29"/>
        <v/>
      </c>
    </row>
    <row r="112" spans="1:24" x14ac:dyDescent="0.25">
      <c r="A112" s="6"/>
      <c r="B112" s="6" t="str">
        <f t="shared" si="19"/>
        <v/>
      </c>
      <c r="C112" s="6" t="str">
        <f t="shared" si="20"/>
        <v/>
      </c>
      <c r="D112" s="6"/>
      <c r="E112" s="6"/>
      <c r="F112" s="6"/>
      <c r="G112" s="6"/>
      <c r="H112" s="6" t="str">
        <f t="shared" si="21"/>
        <v/>
      </c>
      <c r="I112" s="6" t="str">
        <f t="shared" ca="1" si="22"/>
        <v/>
      </c>
      <c r="J112" s="3" t="str">
        <f t="shared" si="23"/>
        <v/>
      </c>
      <c r="K112" s="6" t="str">
        <f>IF(A112="","",VLOOKUP(J112,[1]Initiated!$A:$Y,2,0))</f>
        <v/>
      </c>
      <c r="L112" s="2" t="str">
        <f>IF(A112="","",VLOOKUP(J112,[1]Initiated!$A:$Y,5,FALSE))</f>
        <v/>
      </c>
      <c r="M112" s="6" t="str">
        <f>IF(A112="","",VLOOKUP(J112,[1]Initiated!$A:$Y,6,FALSE))</f>
        <v/>
      </c>
      <c r="N112" s="6" t="str">
        <f>IF(A112="","",VLOOKUP(J112,[1]Initiated!$A:$Y,9,FALSE))</f>
        <v/>
      </c>
      <c r="O112" s="3" t="str">
        <f t="shared" si="24"/>
        <v/>
      </c>
      <c r="P112" s="6" t="str">
        <f>IF(OR(A112="", ISNUMBER(SEARCH("PFr", C112))), "", VLOOKUP(J112, [1]Initiated!$A:$Y, 7, FALSE))</f>
        <v/>
      </c>
      <c r="Q112" s="6" t="str">
        <f>IF(OR(A112="", ISNUMBER(SEARCH("PFr", C112))), "", VLOOKUP(J112, [1]Initiated!$A:$Y, 8, 0))</f>
        <v/>
      </c>
      <c r="R112" s="5" t="str">
        <f t="shared" si="25"/>
        <v/>
      </c>
      <c r="S112" s="4" t="str">
        <f>IF(A112="","",VLOOKUP(J112,[1]Initiated!$A:$Y,3,FALSE))</f>
        <v/>
      </c>
      <c r="T112" s="4" t="str">
        <f t="shared" ca="1" si="26"/>
        <v/>
      </c>
      <c r="U112" s="5" t="str">
        <f t="shared" si="27"/>
        <v/>
      </c>
      <c r="V112" s="5" t="str">
        <f t="shared" si="28"/>
        <v/>
      </c>
      <c r="W112" s="4" t="str">
        <f>IF(A112="","",VLOOKUP(J112,[1]Initiated!$A:$Y,10,0))</f>
        <v/>
      </c>
      <c r="X112" s="5" t="str">
        <f t="shared" si="29"/>
        <v/>
      </c>
    </row>
    <row r="113" spans="1:24" x14ac:dyDescent="0.25">
      <c r="A113" s="6"/>
      <c r="B113" s="6" t="str">
        <f t="shared" si="19"/>
        <v/>
      </c>
      <c r="C113" s="6" t="str">
        <f t="shared" si="20"/>
        <v/>
      </c>
      <c r="D113" s="6"/>
      <c r="E113" s="6"/>
      <c r="F113" s="6"/>
      <c r="G113" s="6"/>
      <c r="H113" s="6" t="str">
        <f t="shared" si="21"/>
        <v/>
      </c>
      <c r="I113" s="6" t="str">
        <f t="shared" ca="1" si="22"/>
        <v/>
      </c>
      <c r="J113" s="3" t="str">
        <f t="shared" si="23"/>
        <v/>
      </c>
      <c r="K113" s="6" t="str">
        <f>IF(A113="","",VLOOKUP(J113,[1]Initiated!$A:$Y,2,0))</f>
        <v/>
      </c>
      <c r="L113" s="2" t="str">
        <f>IF(A113="","",VLOOKUP(J113,[1]Initiated!$A:$Y,5,FALSE))</f>
        <v/>
      </c>
      <c r="M113" s="6" t="str">
        <f>IF(A113="","",VLOOKUP(J113,[1]Initiated!$A:$Y,6,FALSE))</f>
        <v/>
      </c>
      <c r="N113" s="6" t="str">
        <f>IF(A113="","",VLOOKUP(J113,[1]Initiated!$A:$Y,9,FALSE))</f>
        <v/>
      </c>
      <c r="O113" s="3" t="str">
        <f t="shared" si="24"/>
        <v/>
      </c>
      <c r="P113" s="6" t="str">
        <f>IF(OR(A113="", ISNUMBER(SEARCH("PFr", C113))), "", VLOOKUP(J113, [1]Initiated!$A:$Y, 7, FALSE))</f>
        <v/>
      </c>
      <c r="Q113" s="6" t="str">
        <f>IF(OR(A113="", ISNUMBER(SEARCH("PFr", C113))), "", VLOOKUP(J113, [1]Initiated!$A:$Y, 8, 0))</f>
        <v/>
      </c>
      <c r="R113" s="5" t="str">
        <f t="shared" si="25"/>
        <v/>
      </c>
      <c r="S113" s="4" t="str">
        <f>IF(A113="","",VLOOKUP(J113,[1]Initiated!$A:$Y,3,FALSE))</f>
        <v/>
      </c>
      <c r="T113" s="4" t="str">
        <f t="shared" ca="1" si="26"/>
        <v/>
      </c>
      <c r="U113" s="5" t="str">
        <f t="shared" si="27"/>
        <v/>
      </c>
      <c r="V113" s="5" t="str">
        <f t="shared" si="28"/>
        <v/>
      </c>
      <c r="W113" s="4" t="str">
        <f>IF(A113="","",VLOOKUP(J113,[1]Initiated!$A:$Y,10,0))</f>
        <v/>
      </c>
      <c r="X113" s="5" t="str">
        <f t="shared" si="29"/>
        <v/>
      </c>
    </row>
    <row r="114" spans="1:24" x14ac:dyDescent="0.25">
      <c r="A114" s="6"/>
      <c r="B114" s="6" t="str">
        <f t="shared" si="19"/>
        <v/>
      </c>
      <c r="C114" s="6" t="str">
        <f t="shared" si="20"/>
        <v/>
      </c>
      <c r="D114" s="6"/>
      <c r="E114" s="6"/>
      <c r="F114" s="6"/>
      <c r="G114" s="6"/>
      <c r="H114" s="6" t="str">
        <f t="shared" si="21"/>
        <v/>
      </c>
      <c r="I114" s="6" t="str">
        <f t="shared" ca="1" si="22"/>
        <v/>
      </c>
      <c r="J114" s="3" t="str">
        <f t="shared" si="23"/>
        <v/>
      </c>
      <c r="K114" s="6" t="str">
        <f>IF(A114="","",VLOOKUP(J114,[1]Initiated!$A:$Y,2,0))</f>
        <v/>
      </c>
      <c r="L114" s="2" t="str">
        <f>IF(A114="","",VLOOKUP(J114,[1]Initiated!$A:$Y,5,FALSE))</f>
        <v/>
      </c>
      <c r="M114" s="6" t="str">
        <f>IF(A114="","",VLOOKUP(J114,[1]Initiated!$A:$Y,6,FALSE))</f>
        <v/>
      </c>
      <c r="N114" s="6" t="str">
        <f>IF(A114="","",VLOOKUP(J114,[1]Initiated!$A:$Y,9,FALSE))</f>
        <v/>
      </c>
      <c r="O114" s="3" t="str">
        <f t="shared" si="24"/>
        <v/>
      </c>
      <c r="P114" s="6" t="str">
        <f>IF(OR(A114="", ISNUMBER(SEARCH("PFr", C114))), "", VLOOKUP(J114, [1]Initiated!$A:$Y, 7, FALSE))</f>
        <v/>
      </c>
      <c r="Q114" s="6" t="str">
        <f>IF(OR(A114="", ISNUMBER(SEARCH("PFr", C114))), "", VLOOKUP(J114, [1]Initiated!$A:$Y, 8, 0))</f>
        <v/>
      </c>
      <c r="R114" s="5" t="str">
        <f t="shared" si="25"/>
        <v/>
      </c>
      <c r="S114" s="4" t="str">
        <f>IF(A114="","",VLOOKUP(J114,[1]Initiated!$A:$Y,3,FALSE))</f>
        <v/>
      </c>
      <c r="T114" s="4" t="str">
        <f t="shared" ca="1" si="26"/>
        <v/>
      </c>
      <c r="U114" s="5" t="str">
        <f t="shared" si="27"/>
        <v/>
      </c>
      <c r="V114" s="5" t="str">
        <f t="shared" si="28"/>
        <v/>
      </c>
      <c r="W114" s="4" t="str">
        <f>IF(A114="","",VLOOKUP(J114,[1]Initiated!$A:$Y,10,0))</f>
        <v/>
      </c>
      <c r="X114" s="5" t="str">
        <f t="shared" si="29"/>
        <v/>
      </c>
    </row>
    <row r="115" spans="1:24" x14ac:dyDescent="0.25">
      <c r="A115" s="6"/>
      <c r="B115" s="6" t="str">
        <f t="shared" si="19"/>
        <v/>
      </c>
      <c r="C115" s="6" t="str">
        <f t="shared" si="20"/>
        <v/>
      </c>
      <c r="D115" s="6"/>
      <c r="E115" s="6"/>
      <c r="F115" s="6"/>
      <c r="G115" s="6"/>
      <c r="H115" s="6" t="str">
        <f t="shared" si="21"/>
        <v/>
      </c>
      <c r="I115" s="6" t="str">
        <f t="shared" ca="1" si="22"/>
        <v/>
      </c>
      <c r="J115" s="3" t="str">
        <f t="shared" si="23"/>
        <v/>
      </c>
      <c r="K115" s="6" t="str">
        <f>IF(A115="","",VLOOKUP(J115,[1]Initiated!$A:$Y,2,0))</f>
        <v/>
      </c>
      <c r="L115" s="2" t="str">
        <f>IF(A115="","",VLOOKUP(J115,[1]Initiated!$A:$Y,5,FALSE))</f>
        <v/>
      </c>
      <c r="M115" s="6" t="str">
        <f>IF(A115="","",VLOOKUP(J115,[1]Initiated!$A:$Y,6,FALSE))</f>
        <v/>
      </c>
      <c r="N115" s="6" t="str">
        <f>IF(A115="","",VLOOKUP(J115,[1]Initiated!$A:$Y,9,FALSE))</f>
        <v/>
      </c>
      <c r="O115" s="3" t="str">
        <f t="shared" si="24"/>
        <v/>
      </c>
      <c r="P115" s="6" t="str">
        <f>IF(OR(A115="", ISNUMBER(SEARCH("PFr", C115))), "", VLOOKUP(J115, [1]Initiated!$A:$Y, 7, FALSE))</f>
        <v/>
      </c>
      <c r="Q115" s="6" t="str">
        <f>IF(OR(A115="", ISNUMBER(SEARCH("PFr", C115))), "", VLOOKUP(J115, [1]Initiated!$A:$Y, 8, 0))</f>
        <v/>
      </c>
      <c r="R115" s="5" t="str">
        <f t="shared" si="25"/>
        <v/>
      </c>
      <c r="S115" s="4" t="str">
        <f>IF(A115="","",VLOOKUP(J115,[1]Initiated!$A:$Y,3,FALSE))</f>
        <v/>
      </c>
      <c r="T115" s="4" t="str">
        <f t="shared" ca="1" si="26"/>
        <v/>
      </c>
      <c r="U115" s="5" t="str">
        <f t="shared" si="27"/>
        <v/>
      </c>
      <c r="V115" s="5" t="str">
        <f t="shared" si="28"/>
        <v/>
      </c>
      <c r="W115" s="4" t="str">
        <f>IF(A115="","",VLOOKUP(J115,[1]Initiated!$A:$Y,10,0))</f>
        <v/>
      </c>
      <c r="X115" s="5" t="str">
        <f t="shared" si="29"/>
        <v/>
      </c>
    </row>
    <row r="116" spans="1:24" x14ac:dyDescent="0.25">
      <c r="A116" s="6"/>
      <c r="B116" s="6" t="str">
        <f t="shared" si="19"/>
        <v/>
      </c>
      <c r="C116" s="6" t="str">
        <f t="shared" si="20"/>
        <v/>
      </c>
      <c r="D116" s="6"/>
      <c r="E116" s="6"/>
      <c r="F116" s="6"/>
      <c r="G116" s="6"/>
      <c r="H116" s="6" t="str">
        <f t="shared" si="21"/>
        <v/>
      </c>
      <c r="I116" s="6" t="str">
        <f t="shared" ca="1" si="22"/>
        <v/>
      </c>
      <c r="J116" s="3" t="str">
        <f t="shared" si="23"/>
        <v/>
      </c>
      <c r="K116" s="6" t="str">
        <f>IF(A116="","",VLOOKUP(J116,[1]Initiated!$A:$Y,2,0))</f>
        <v/>
      </c>
      <c r="L116" s="2" t="str">
        <f>IF(A116="","",VLOOKUP(J116,[1]Initiated!$A:$Y,5,FALSE))</f>
        <v/>
      </c>
      <c r="M116" s="6" t="str">
        <f>IF(A116="","",VLOOKUP(J116,[1]Initiated!$A:$Y,6,FALSE))</f>
        <v/>
      </c>
      <c r="N116" s="6" t="str">
        <f>IF(A116="","",VLOOKUP(J116,[1]Initiated!$A:$Y,9,FALSE))</f>
        <v/>
      </c>
      <c r="O116" s="3" t="str">
        <f t="shared" si="24"/>
        <v/>
      </c>
      <c r="P116" s="6" t="str">
        <f>IF(OR(A116="", ISNUMBER(SEARCH("PFr", C116))), "", VLOOKUP(J116, [1]Initiated!$A:$Y, 7, FALSE))</f>
        <v/>
      </c>
      <c r="Q116" s="6" t="str">
        <f>IF(OR(A116="", ISNUMBER(SEARCH("PFr", C116))), "", VLOOKUP(J116, [1]Initiated!$A:$Y, 8, 0))</f>
        <v/>
      </c>
      <c r="R116" s="5" t="str">
        <f t="shared" si="25"/>
        <v/>
      </c>
      <c r="S116" s="4" t="str">
        <f>IF(A116="","",VLOOKUP(J116,[1]Initiated!$A:$Y,3,FALSE))</f>
        <v/>
      </c>
      <c r="T116" s="4" t="str">
        <f t="shared" ca="1" si="26"/>
        <v/>
      </c>
      <c r="U116" s="5" t="str">
        <f t="shared" si="27"/>
        <v/>
      </c>
      <c r="V116" s="5" t="str">
        <f t="shared" si="28"/>
        <v/>
      </c>
      <c r="W116" s="4" t="str">
        <f>IF(A116="","",VLOOKUP(J116,[1]Initiated!$A:$Y,10,0))</f>
        <v/>
      </c>
      <c r="X116" s="5" t="str">
        <f t="shared" si="29"/>
        <v/>
      </c>
    </row>
    <row r="117" spans="1:24" x14ac:dyDescent="0.25">
      <c r="A117" s="6"/>
      <c r="B117" s="6" t="str">
        <f t="shared" si="19"/>
        <v/>
      </c>
      <c r="C117" s="6" t="str">
        <f t="shared" si="20"/>
        <v/>
      </c>
      <c r="D117" s="6"/>
      <c r="E117" s="6"/>
      <c r="F117" s="6"/>
      <c r="G117" s="6"/>
      <c r="H117" s="6" t="str">
        <f t="shared" si="21"/>
        <v/>
      </c>
      <c r="I117" s="6" t="str">
        <f t="shared" ca="1" si="22"/>
        <v/>
      </c>
      <c r="J117" s="3" t="str">
        <f t="shared" si="23"/>
        <v/>
      </c>
      <c r="K117" s="6" t="str">
        <f>IF(A117="","",VLOOKUP(J117,[1]Initiated!$A:$Y,2,0))</f>
        <v/>
      </c>
      <c r="L117" s="2" t="str">
        <f>IF(A117="","",VLOOKUP(J117,[1]Initiated!$A:$Y,5,FALSE))</f>
        <v/>
      </c>
      <c r="M117" s="6" t="str">
        <f>IF(A117="","",VLOOKUP(J117,[1]Initiated!$A:$Y,6,FALSE))</f>
        <v/>
      </c>
      <c r="N117" s="6" t="str">
        <f>IF(A117="","",VLOOKUP(J117,[1]Initiated!$A:$Y,9,FALSE))</f>
        <v/>
      </c>
      <c r="O117" s="3" t="str">
        <f t="shared" si="24"/>
        <v/>
      </c>
      <c r="P117" s="6" t="str">
        <f>IF(OR(A117="", ISNUMBER(SEARCH("PFr", C117))), "", VLOOKUP(J117, [1]Initiated!$A:$Y, 7, FALSE))</f>
        <v/>
      </c>
      <c r="Q117" s="6" t="str">
        <f>IF(OR(A117="", ISNUMBER(SEARCH("PFr", C117))), "", VLOOKUP(J117, [1]Initiated!$A:$Y, 8, 0))</f>
        <v/>
      </c>
      <c r="R117" s="5" t="str">
        <f t="shared" si="25"/>
        <v/>
      </c>
      <c r="S117" s="4" t="str">
        <f>IF(A117="","",VLOOKUP(J117,[1]Initiated!$A:$Y,3,FALSE))</f>
        <v/>
      </c>
      <c r="T117" s="4" t="str">
        <f t="shared" ca="1" si="26"/>
        <v/>
      </c>
      <c r="U117" s="5" t="str">
        <f t="shared" si="27"/>
        <v/>
      </c>
      <c r="V117" s="5" t="str">
        <f t="shared" si="28"/>
        <v/>
      </c>
      <c r="W117" s="4" t="str">
        <f>IF(A117="","",VLOOKUP(J117,[1]Initiated!$A:$Y,10,0))</f>
        <v/>
      </c>
      <c r="X117" s="5" t="str">
        <f t="shared" si="29"/>
        <v/>
      </c>
    </row>
    <row r="118" spans="1:24" x14ac:dyDescent="0.25">
      <c r="A118" s="6"/>
      <c r="B118" s="6" t="str">
        <f t="shared" si="19"/>
        <v/>
      </c>
      <c r="C118" s="6" t="str">
        <f t="shared" si="20"/>
        <v/>
      </c>
      <c r="D118" s="6"/>
      <c r="E118" s="6"/>
      <c r="F118" s="6"/>
      <c r="G118" s="6"/>
      <c r="H118" s="6" t="str">
        <f t="shared" si="21"/>
        <v/>
      </c>
      <c r="I118" s="6" t="str">
        <f t="shared" ca="1" si="22"/>
        <v/>
      </c>
      <c r="J118" s="3" t="str">
        <f t="shared" si="23"/>
        <v/>
      </c>
      <c r="K118" s="6" t="str">
        <f>IF(A118="","",VLOOKUP(J118,[1]Initiated!$A:$Y,2,0))</f>
        <v/>
      </c>
      <c r="L118" s="2" t="str">
        <f>IF(A118="","",VLOOKUP(J118,[1]Initiated!$A:$Y,5,FALSE))</f>
        <v/>
      </c>
      <c r="M118" s="6" t="str">
        <f>IF(A118="","",VLOOKUP(J118,[1]Initiated!$A:$Y,6,FALSE))</f>
        <v/>
      </c>
      <c r="N118" s="6" t="str">
        <f>IF(A118="","",VLOOKUP(J118,[1]Initiated!$A:$Y,9,FALSE))</f>
        <v/>
      </c>
      <c r="O118" s="3" t="str">
        <f t="shared" si="24"/>
        <v/>
      </c>
      <c r="P118" s="6" t="str">
        <f>IF(OR(A118="", ISNUMBER(SEARCH("PFr", C118))), "", VLOOKUP(J118, [1]Initiated!$A:$Y, 7, FALSE))</f>
        <v/>
      </c>
      <c r="Q118" s="6" t="str">
        <f>IF(OR(A118="", ISNUMBER(SEARCH("PFr", C118))), "", VLOOKUP(J118, [1]Initiated!$A:$Y, 8, 0))</f>
        <v/>
      </c>
      <c r="R118" s="5" t="str">
        <f t="shared" si="25"/>
        <v/>
      </c>
      <c r="S118" s="4" t="str">
        <f>IF(A118="","",VLOOKUP(J118,[1]Initiated!$A:$Y,3,FALSE))</f>
        <v/>
      </c>
      <c r="T118" s="4" t="str">
        <f t="shared" ca="1" si="26"/>
        <v/>
      </c>
      <c r="U118" s="5" t="str">
        <f t="shared" si="27"/>
        <v/>
      </c>
      <c r="V118" s="5" t="str">
        <f t="shared" si="28"/>
        <v/>
      </c>
      <c r="W118" s="4" t="str">
        <f>IF(A118="","",VLOOKUP(J118,[1]Initiated!$A:$Y,10,0))</f>
        <v/>
      </c>
      <c r="X118" s="5" t="str">
        <f t="shared" si="29"/>
        <v/>
      </c>
    </row>
    <row r="119" spans="1:24" x14ac:dyDescent="0.25">
      <c r="A119" s="6"/>
      <c r="B119" s="6" t="str">
        <f t="shared" si="19"/>
        <v/>
      </c>
      <c r="C119" s="6" t="str">
        <f t="shared" si="20"/>
        <v/>
      </c>
      <c r="D119" s="6"/>
      <c r="E119" s="6"/>
      <c r="F119" s="6"/>
      <c r="G119" s="6"/>
      <c r="H119" s="6" t="str">
        <f t="shared" si="21"/>
        <v/>
      </c>
      <c r="I119" s="6" t="str">
        <f t="shared" ca="1" si="22"/>
        <v/>
      </c>
      <c r="J119" s="3" t="str">
        <f t="shared" si="23"/>
        <v/>
      </c>
      <c r="K119" s="6" t="str">
        <f>IF(A119="","",VLOOKUP(J119,[1]Initiated!$A:$Y,2,0))</f>
        <v/>
      </c>
      <c r="L119" s="2" t="str">
        <f>IF(A119="","",VLOOKUP(J119,[1]Initiated!$A:$Y,5,FALSE))</f>
        <v/>
      </c>
      <c r="M119" s="6" t="str">
        <f>IF(A119="","",VLOOKUP(J119,[1]Initiated!$A:$Y,6,FALSE))</f>
        <v/>
      </c>
      <c r="N119" s="6" t="str">
        <f>IF(A119="","",VLOOKUP(J119,[1]Initiated!$A:$Y,9,FALSE))</f>
        <v/>
      </c>
      <c r="O119" s="3" t="str">
        <f t="shared" si="24"/>
        <v/>
      </c>
      <c r="P119" s="6" t="str">
        <f>IF(OR(A119="", ISNUMBER(SEARCH("PFr", C119))), "", VLOOKUP(J119, [1]Initiated!$A:$Y, 7, FALSE))</f>
        <v/>
      </c>
      <c r="Q119" s="6" t="str">
        <f>IF(OR(A119="", ISNUMBER(SEARCH("PFr", C119))), "", VLOOKUP(J119, [1]Initiated!$A:$Y, 8, 0))</f>
        <v/>
      </c>
      <c r="R119" s="5" t="str">
        <f t="shared" si="25"/>
        <v/>
      </c>
      <c r="S119" s="4" t="str">
        <f>IF(A119="","",VLOOKUP(J119,[1]Initiated!$A:$Y,3,FALSE))</f>
        <v/>
      </c>
      <c r="T119" s="4" t="str">
        <f t="shared" ca="1" si="26"/>
        <v/>
      </c>
      <c r="U119" s="5" t="str">
        <f t="shared" si="27"/>
        <v/>
      </c>
      <c r="V119" s="5" t="str">
        <f t="shared" si="28"/>
        <v/>
      </c>
      <c r="W119" s="4" t="str">
        <f>IF(A119="","",VLOOKUP(J119,[1]Initiated!$A:$Y,10,0))</f>
        <v/>
      </c>
      <c r="X119" s="5" t="str">
        <f t="shared" si="29"/>
        <v/>
      </c>
    </row>
    <row r="120" spans="1:24" x14ac:dyDescent="0.25">
      <c r="A120" s="6"/>
      <c r="B120" s="6" t="str">
        <f t="shared" si="19"/>
        <v/>
      </c>
      <c r="C120" s="6" t="str">
        <f t="shared" si="20"/>
        <v/>
      </c>
      <c r="D120" s="6"/>
      <c r="E120" s="6"/>
      <c r="F120" s="6"/>
      <c r="G120" s="6"/>
      <c r="H120" s="6" t="str">
        <f t="shared" si="21"/>
        <v/>
      </c>
      <c r="I120" s="6" t="str">
        <f t="shared" ca="1" si="22"/>
        <v/>
      </c>
      <c r="J120" s="3" t="str">
        <f t="shared" si="23"/>
        <v/>
      </c>
      <c r="K120" s="6" t="str">
        <f>IF(A120="","",VLOOKUP(J120,[1]Initiated!$A:$Y,2,0))</f>
        <v/>
      </c>
      <c r="L120" s="2" t="str">
        <f>IF(A120="","",VLOOKUP(J120,[1]Initiated!$A:$Y,5,FALSE))</f>
        <v/>
      </c>
      <c r="M120" s="6" t="str">
        <f>IF(A120="","",VLOOKUP(J120,[1]Initiated!$A:$Y,6,FALSE))</f>
        <v/>
      </c>
      <c r="N120" s="6" t="str">
        <f>IF(A120="","",VLOOKUP(J120,[1]Initiated!$A:$Y,9,FALSE))</f>
        <v/>
      </c>
      <c r="O120" s="3" t="str">
        <f t="shared" si="24"/>
        <v/>
      </c>
      <c r="P120" s="6" t="str">
        <f>IF(OR(A120="", ISNUMBER(SEARCH("PFr", C120))), "", VLOOKUP(J120, [1]Initiated!$A:$Y, 7, FALSE))</f>
        <v/>
      </c>
      <c r="Q120" s="6" t="str">
        <f>IF(OR(A120="", ISNUMBER(SEARCH("PFr", C120))), "", VLOOKUP(J120, [1]Initiated!$A:$Y, 8, 0))</f>
        <v/>
      </c>
      <c r="R120" s="5" t="str">
        <f t="shared" si="25"/>
        <v/>
      </c>
      <c r="S120" s="4" t="str">
        <f>IF(A120="","",VLOOKUP(J120,[1]Initiated!$A:$Y,3,FALSE))</f>
        <v/>
      </c>
      <c r="T120" s="4" t="str">
        <f t="shared" ca="1" si="26"/>
        <v/>
      </c>
      <c r="U120" s="5" t="str">
        <f t="shared" si="27"/>
        <v/>
      </c>
      <c r="V120" s="5" t="str">
        <f t="shared" si="28"/>
        <v/>
      </c>
      <c r="W120" s="4" t="str">
        <f>IF(A120="","",VLOOKUP(J120,[1]Initiated!$A:$Y,10,0))</f>
        <v/>
      </c>
      <c r="X120" s="5" t="str">
        <f t="shared" si="29"/>
        <v/>
      </c>
    </row>
    <row r="121" spans="1:24" x14ac:dyDescent="0.25">
      <c r="A121" s="6"/>
      <c r="B121" s="6" t="str">
        <f t="shared" si="19"/>
        <v/>
      </c>
      <c r="C121" s="6" t="str">
        <f t="shared" si="20"/>
        <v/>
      </c>
      <c r="D121" s="6"/>
      <c r="E121" s="6"/>
      <c r="F121" s="6"/>
      <c r="G121" s="6"/>
      <c r="H121" s="6" t="str">
        <f t="shared" si="21"/>
        <v/>
      </c>
      <c r="I121" s="6" t="str">
        <f t="shared" ca="1" si="22"/>
        <v/>
      </c>
      <c r="J121" s="3" t="str">
        <f t="shared" si="23"/>
        <v/>
      </c>
      <c r="K121" s="6" t="str">
        <f>IF(A121="","",VLOOKUP(J121,[1]Initiated!$A:$Y,2,0))</f>
        <v/>
      </c>
      <c r="L121" s="2" t="str">
        <f>IF(A121="","",VLOOKUP(J121,[1]Initiated!$A:$Y,5,FALSE))</f>
        <v/>
      </c>
      <c r="M121" s="6" t="str">
        <f>IF(A121="","",VLOOKUP(J121,[1]Initiated!$A:$Y,6,FALSE))</f>
        <v/>
      </c>
      <c r="N121" s="6" t="str">
        <f>IF(A121="","",VLOOKUP(J121,[1]Initiated!$A:$Y,9,FALSE))</f>
        <v/>
      </c>
      <c r="O121" s="3" t="str">
        <f t="shared" si="24"/>
        <v/>
      </c>
      <c r="P121" s="6" t="str">
        <f>IF(OR(A121="", ISNUMBER(SEARCH("PFr", C121))), "", VLOOKUP(J121, [1]Initiated!$A:$Y, 7, FALSE))</f>
        <v/>
      </c>
      <c r="Q121" s="6" t="str">
        <f>IF(OR(A121="", ISNUMBER(SEARCH("PFr", C121))), "", VLOOKUP(J121, [1]Initiated!$A:$Y, 8, 0))</f>
        <v/>
      </c>
      <c r="R121" s="5" t="str">
        <f t="shared" si="25"/>
        <v/>
      </c>
      <c r="S121" s="4" t="str">
        <f>IF(A121="","",VLOOKUP(J121,[1]Initiated!$A:$Y,3,FALSE))</f>
        <v/>
      </c>
      <c r="T121" s="4" t="str">
        <f t="shared" ca="1" si="26"/>
        <v/>
      </c>
      <c r="U121" s="5" t="str">
        <f t="shared" si="27"/>
        <v/>
      </c>
      <c r="V121" s="5" t="str">
        <f t="shared" si="28"/>
        <v/>
      </c>
      <c r="W121" s="4" t="str">
        <f>IF(A121="","",VLOOKUP(J121,[1]Initiated!$A:$Y,10,0))</f>
        <v/>
      </c>
      <c r="X121" s="5" t="str">
        <f t="shared" si="29"/>
        <v/>
      </c>
    </row>
    <row r="122" spans="1:24" x14ac:dyDescent="0.25">
      <c r="A122" s="6"/>
      <c r="B122" s="6" t="str">
        <f t="shared" si="19"/>
        <v/>
      </c>
      <c r="C122" s="6" t="str">
        <f t="shared" si="20"/>
        <v/>
      </c>
      <c r="D122" s="6"/>
      <c r="E122" s="6"/>
      <c r="F122" s="6"/>
      <c r="G122" s="6"/>
      <c r="H122" s="6" t="str">
        <f t="shared" si="21"/>
        <v/>
      </c>
      <c r="I122" s="6" t="str">
        <f t="shared" ca="1" si="22"/>
        <v/>
      </c>
      <c r="J122" s="3" t="str">
        <f t="shared" si="23"/>
        <v/>
      </c>
      <c r="K122" s="6" t="str">
        <f>IF(A122="","",VLOOKUP(J122,[1]Initiated!$A:$Y,2,0))</f>
        <v/>
      </c>
      <c r="L122" s="2" t="str">
        <f>IF(A122="","",VLOOKUP(J122,[1]Initiated!$A:$Y,5,FALSE))</f>
        <v/>
      </c>
      <c r="M122" s="6" t="str">
        <f>IF(A122="","",VLOOKUP(J122,[1]Initiated!$A:$Y,6,FALSE))</f>
        <v/>
      </c>
      <c r="N122" s="6" t="str">
        <f>IF(A122="","",VLOOKUP(J122,[1]Initiated!$A:$Y,9,FALSE))</f>
        <v/>
      </c>
      <c r="O122" s="3" t="str">
        <f t="shared" si="24"/>
        <v/>
      </c>
      <c r="P122" s="6" t="str">
        <f>IF(OR(A122="", ISNUMBER(SEARCH("PFr", C122))), "", VLOOKUP(J122, [1]Initiated!$A:$Y, 7, FALSE))</f>
        <v/>
      </c>
      <c r="Q122" s="6" t="str">
        <f>IF(OR(A122="", ISNUMBER(SEARCH("PFr", C122))), "", VLOOKUP(J122, [1]Initiated!$A:$Y, 8, 0))</f>
        <v/>
      </c>
      <c r="R122" s="5" t="str">
        <f t="shared" si="25"/>
        <v/>
      </c>
      <c r="S122" s="4" t="str">
        <f>IF(A122="","",VLOOKUP(J122,[1]Initiated!$A:$Y,3,FALSE))</f>
        <v/>
      </c>
      <c r="T122" s="4" t="str">
        <f t="shared" ca="1" si="26"/>
        <v/>
      </c>
      <c r="U122" s="5" t="str">
        <f t="shared" si="27"/>
        <v/>
      </c>
      <c r="V122" s="5" t="str">
        <f t="shared" si="28"/>
        <v/>
      </c>
      <c r="W122" s="4" t="str">
        <f>IF(A122="","",VLOOKUP(J122,[1]Initiated!$A:$Y,10,0))</f>
        <v/>
      </c>
      <c r="X122" s="5" t="str">
        <f t="shared" si="29"/>
        <v/>
      </c>
    </row>
    <row r="123" spans="1:24" x14ac:dyDescent="0.25">
      <c r="A123" s="6"/>
      <c r="B123" s="6" t="str">
        <f t="shared" si="19"/>
        <v/>
      </c>
      <c r="C123" s="6" t="str">
        <f t="shared" si="20"/>
        <v/>
      </c>
      <c r="D123" s="6"/>
      <c r="E123" s="6"/>
      <c r="F123" s="6"/>
      <c r="G123" s="6"/>
      <c r="H123" s="6" t="str">
        <f t="shared" si="21"/>
        <v/>
      </c>
      <c r="I123" s="6" t="str">
        <f t="shared" ca="1" si="22"/>
        <v/>
      </c>
      <c r="J123" s="3" t="str">
        <f t="shared" si="23"/>
        <v/>
      </c>
      <c r="K123" s="6" t="str">
        <f>IF(A123="","",VLOOKUP(J123,[1]Initiated!$A:$Y,2,0))</f>
        <v/>
      </c>
      <c r="L123" s="2" t="str">
        <f>IF(A123="","",VLOOKUP(J123,[1]Initiated!$A:$Y,5,FALSE))</f>
        <v/>
      </c>
      <c r="M123" s="6" t="str">
        <f>IF(A123="","",VLOOKUP(J123,[1]Initiated!$A:$Y,6,FALSE))</f>
        <v/>
      </c>
      <c r="N123" s="6" t="str">
        <f>IF(A123="","",VLOOKUP(J123,[1]Initiated!$A:$Y,9,FALSE))</f>
        <v/>
      </c>
      <c r="O123" s="3" t="str">
        <f t="shared" si="24"/>
        <v/>
      </c>
      <c r="P123" s="6" t="str">
        <f>IF(OR(A123="", ISNUMBER(SEARCH("PFr", C123))), "", VLOOKUP(J123, [1]Initiated!$A:$Y, 7, FALSE))</f>
        <v/>
      </c>
      <c r="Q123" s="6" t="str">
        <f>IF(OR(A123="", ISNUMBER(SEARCH("PFr", C123))), "", VLOOKUP(J123, [1]Initiated!$A:$Y, 8, 0))</f>
        <v/>
      </c>
      <c r="R123" s="5" t="str">
        <f t="shared" si="25"/>
        <v/>
      </c>
      <c r="S123" s="4" t="str">
        <f>IF(A123="","",VLOOKUP(J123,[1]Initiated!$A:$Y,3,FALSE))</f>
        <v/>
      </c>
      <c r="T123" s="4" t="str">
        <f t="shared" ca="1" si="26"/>
        <v/>
      </c>
      <c r="U123" s="5" t="str">
        <f t="shared" si="27"/>
        <v/>
      </c>
      <c r="V123" s="5" t="str">
        <f t="shared" si="28"/>
        <v/>
      </c>
      <c r="W123" s="4" t="str">
        <f>IF(A123="","",VLOOKUP(J123,[1]Initiated!$A:$Y,10,0))</f>
        <v/>
      </c>
      <c r="X123" s="5" t="str">
        <f t="shared" si="29"/>
        <v/>
      </c>
    </row>
    <row r="124" spans="1:24" x14ac:dyDescent="0.25">
      <c r="A124" s="6"/>
      <c r="B124" s="6" t="str">
        <f t="shared" si="19"/>
        <v/>
      </c>
      <c r="C124" s="6" t="str">
        <f t="shared" si="20"/>
        <v/>
      </c>
      <c r="D124" s="6"/>
      <c r="E124" s="6"/>
      <c r="F124" s="6"/>
      <c r="G124" s="6"/>
      <c r="H124" s="6" t="str">
        <f t="shared" si="21"/>
        <v/>
      </c>
      <c r="I124" s="6" t="str">
        <f t="shared" ca="1" si="22"/>
        <v/>
      </c>
      <c r="J124" s="3" t="str">
        <f t="shared" si="23"/>
        <v/>
      </c>
      <c r="K124" s="6" t="str">
        <f>IF(A124="","",VLOOKUP(J124,[1]Initiated!$A:$Y,2,0))</f>
        <v/>
      </c>
      <c r="L124" s="2" t="str">
        <f>IF(A124="","",VLOOKUP(J124,[1]Initiated!$A:$Y,5,FALSE))</f>
        <v/>
      </c>
      <c r="M124" s="6" t="str">
        <f>IF(A124="","",VLOOKUP(J124,[1]Initiated!$A:$Y,6,FALSE))</f>
        <v/>
      </c>
      <c r="N124" s="6" t="str">
        <f>IF(A124="","",VLOOKUP(J124,[1]Initiated!$A:$Y,9,FALSE))</f>
        <v/>
      </c>
      <c r="O124" s="3" t="str">
        <f t="shared" si="24"/>
        <v/>
      </c>
      <c r="P124" s="6" t="str">
        <f>IF(OR(A124="", ISNUMBER(SEARCH("PFr", C124))), "", VLOOKUP(J124, [1]Initiated!$A:$Y, 7, FALSE))</f>
        <v/>
      </c>
      <c r="Q124" s="6" t="str">
        <f>IF(OR(A124="", ISNUMBER(SEARCH("PFr", C124))), "", VLOOKUP(J124, [1]Initiated!$A:$Y, 8, 0))</f>
        <v/>
      </c>
      <c r="R124" s="5" t="str">
        <f t="shared" si="25"/>
        <v/>
      </c>
      <c r="S124" s="4" t="str">
        <f>IF(A124="","",VLOOKUP(J124,[1]Initiated!$A:$Y,3,FALSE))</f>
        <v/>
      </c>
      <c r="T124" s="4" t="str">
        <f t="shared" ca="1" si="26"/>
        <v/>
      </c>
      <c r="U124" s="5" t="str">
        <f t="shared" si="27"/>
        <v/>
      </c>
      <c r="V124" s="5" t="str">
        <f t="shared" si="28"/>
        <v/>
      </c>
      <c r="W124" s="4" t="str">
        <f>IF(A124="","",VLOOKUP(J124,[1]Initiated!$A:$Y,10,0))</f>
        <v/>
      </c>
      <c r="X124" s="5" t="str">
        <f t="shared" si="29"/>
        <v/>
      </c>
    </row>
    <row r="125" spans="1:24" x14ac:dyDescent="0.25">
      <c r="A125" s="6"/>
      <c r="B125" s="6" t="str">
        <f t="shared" si="19"/>
        <v/>
      </c>
      <c r="C125" s="6" t="str">
        <f t="shared" si="20"/>
        <v/>
      </c>
      <c r="D125" s="6"/>
      <c r="E125" s="6"/>
      <c r="F125" s="6"/>
      <c r="G125" s="6"/>
      <c r="H125" s="6" t="str">
        <f t="shared" si="21"/>
        <v/>
      </c>
      <c r="I125" s="6" t="str">
        <f t="shared" ca="1" si="22"/>
        <v/>
      </c>
      <c r="J125" s="3" t="str">
        <f t="shared" si="23"/>
        <v/>
      </c>
      <c r="K125" s="6" t="str">
        <f>IF(A125="","",VLOOKUP(J125,[1]Initiated!$A:$Y,2,0))</f>
        <v/>
      </c>
      <c r="L125" s="2" t="str">
        <f>IF(A125="","",VLOOKUP(J125,[1]Initiated!$A:$Y,5,FALSE))</f>
        <v/>
      </c>
      <c r="M125" s="6" t="str">
        <f>IF(A125="","",VLOOKUP(J125,[1]Initiated!$A:$Y,6,FALSE))</f>
        <v/>
      </c>
      <c r="N125" s="6" t="str">
        <f>IF(A125="","",VLOOKUP(J125,[1]Initiated!$A:$Y,9,FALSE))</f>
        <v/>
      </c>
      <c r="O125" s="3" t="str">
        <f t="shared" si="24"/>
        <v/>
      </c>
      <c r="P125" s="6" t="str">
        <f>IF(OR(A125="", ISNUMBER(SEARCH("PFr", C125))), "", VLOOKUP(J125, [1]Initiated!$A:$Y, 7, FALSE))</f>
        <v/>
      </c>
      <c r="Q125" s="6" t="str">
        <f>IF(OR(A125="", ISNUMBER(SEARCH("PFr", C125))), "", VLOOKUP(J125, [1]Initiated!$A:$Y, 8, 0))</f>
        <v/>
      </c>
      <c r="R125" s="5" t="str">
        <f t="shared" si="25"/>
        <v/>
      </c>
      <c r="S125" s="4" t="str">
        <f>IF(A125="","",VLOOKUP(J125,[1]Initiated!$A:$Y,3,FALSE))</f>
        <v/>
      </c>
      <c r="T125" s="4" t="str">
        <f t="shared" ca="1" si="26"/>
        <v/>
      </c>
      <c r="U125" s="5" t="str">
        <f t="shared" si="27"/>
        <v/>
      </c>
      <c r="V125" s="5" t="str">
        <f t="shared" si="28"/>
        <v/>
      </c>
      <c r="W125" s="4" t="str">
        <f>IF(A125="","",VLOOKUP(J125,[1]Initiated!$A:$Y,10,0))</f>
        <v/>
      </c>
      <c r="X125" s="5" t="str">
        <f t="shared" si="29"/>
        <v/>
      </c>
    </row>
    <row r="126" spans="1:24" x14ac:dyDescent="0.25">
      <c r="A126" s="6"/>
      <c r="B126" s="6" t="str">
        <f t="shared" si="19"/>
        <v/>
      </c>
      <c r="C126" s="6" t="str">
        <f t="shared" si="20"/>
        <v/>
      </c>
      <c r="D126" s="6"/>
      <c r="E126" s="6"/>
      <c r="F126" s="6"/>
      <c r="G126" s="6"/>
      <c r="H126" s="6" t="str">
        <f t="shared" si="21"/>
        <v/>
      </c>
      <c r="I126" s="6" t="str">
        <f t="shared" ca="1" si="22"/>
        <v/>
      </c>
      <c r="J126" s="3" t="str">
        <f t="shared" si="23"/>
        <v/>
      </c>
      <c r="K126" s="6" t="str">
        <f>IF(A126="","",VLOOKUP(J126,[1]Initiated!$A:$Y,2,0))</f>
        <v/>
      </c>
      <c r="L126" s="2" t="str">
        <f>IF(A126="","",VLOOKUP(J126,[1]Initiated!$A:$Y,5,FALSE))</f>
        <v/>
      </c>
      <c r="M126" s="6" t="str">
        <f>IF(A126="","",VLOOKUP(J126,[1]Initiated!$A:$Y,6,FALSE))</f>
        <v/>
      </c>
      <c r="N126" s="6" t="str">
        <f>IF(A126="","",VLOOKUP(J126,[1]Initiated!$A:$Y,9,FALSE))</f>
        <v/>
      </c>
      <c r="O126" s="3" t="str">
        <f t="shared" si="24"/>
        <v/>
      </c>
      <c r="P126" s="6" t="str">
        <f>IF(OR(A126="", ISNUMBER(SEARCH("PFr", C126))), "", VLOOKUP(J126, [1]Initiated!$A:$Y, 7, FALSE))</f>
        <v/>
      </c>
      <c r="Q126" s="6" t="str">
        <f>IF(OR(A126="", ISNUMBER(SEARCH("PFr", C126))), "", VLOOKUP(J126, [1]Initiated!$A:$Y, 8, 0))</f>
        <v/>
      </c>
      <c r="R126" s="5" t="str">
        <f t="shared" si="25"/>
        <v/>
      </c>
      <c r="S126" s="4" t="str">
        <f>IF(A126="","",VLOOKUP(J126,[1]Initiated!$A:$Y,3,FALSE))</f>
        <v/>
      </c>
      <c r="T126" s="4" t="str">
        <f t="shared" ca="1" si="26"/>
        <v/>
      </c>
      <c r="U126" s="5" t="str">
        <f t="shared" si="27"/>
        <v/>
      </c>
      <c r="V126" s="5" t="str">
        <f t="shared" si="28"/>
        <v/>
      </c>
      <c r="W126" s="4" t="str">
        <f>IF(A126="","",VLOOKUP(J126,[1]Initiated!$A:$Y,10,0))</f>
        <v/>
      </c>
      <c r="X126" s="5" t="str">
        <f t="shared" si="29"/>
        <v/>
      </c>
    </row>
    <row r="127" spans="1:24" x14ac:dyDescent="0.25">
      <c r="A127" s="6"/>
      <c r="B127" s="6" t="str">
        <f t="shared" si="19"/>
        <v/>
      </c>
      <c r="C127" s="6" t="str">
        <f t="shared" si="20"/>
        <v/>
      </c>
      <c r="D127" s="6"/>
      <c r="E127" s="6"/>
      <c r="F127" s="6"/>
      <c r="G127" s="6"/>
      <c r="H127" s="6" t="str">
        <f t="shared" si="21"/>
        <v/>
      </c>
      <c r="I127" s="6" t="str">
        <f t="shared" ca="1" si="22"/>
        <v/>
      </c>
      <c r="J127" s="3" t="str">
        <f t="shared" si="23"/>
        <v/>
      </c>
      <c r="K127" s="6" t="str">
        <f>IF(A127="","",VLOOKUP(J127,[1]Initiated!$A:$Y,2,0))</f>
        <v/>
      </c>
      <c r="L127" s="2" t="str">
        <f>IF(A127="","",VLOOKUP(J127,[1]Initiated!$A:$Y,5,FALSE))</f>
        <v/>
      </c>
      <c r="M127" s="6" t="str">
        <f>IF(A127="","",VLOOKUP(J127,[1]Initiated!$A:$Y,6,FALSE))</f>
        <v/>
      </c>
      <c r="N127" s="6" t="str">
        <f>IF(A127="","",VLOOKUP(J127,[1]Initiated!$A:$Y,9,FALSE))</f>
        <v/>
      </c>
      <c r="O127" s="3" t="str">
        <f t="shared" si="24"/>
        <v/>
      </c>
      <c r="P127" s="6" t="str">
        <f>IF(OR(A127="", ISNUMBER(SEARCH("PFr", C127))), "", VLOOKUP(J127, [1]Initiated!$A:$Y, 7, FALSE))</f>
        <v/>
      </c>
      <c r="Q127" s="6" t="str">
        <f>IF(OR(A127="", ISNUMBER(SEARCH("PFr", C127))), "", VLOOKUP(J127, [1]Initiated!$A:$Y, 8, 0))</f>
        <v/>
      </c>
      <c r="R127" s="5" t="str">
        <f t="shared" si="25"/>
        <v/>
      </c>
      <c r="S127" s="4" t="str">
        <f>IF(A127="","",VLOOKUP(J127,[1]Initiated!$A:$Y,3,FALSE))</f>
        <v/>
      </c>
      <c r="T127" s="4" t="str">
        <f t="shared" ca="1" si="26"/>
        <v/>
      </c>
      <c r="U127" s="5" t="str">
        <f t="shared" si="27"/>
        <v/>
      </c>
      <c r="V127" s="5" t="str">
        <f t="shared" si="28"/>
        <v/>
      </c>
      <c r="W127" s="4" t="str">
        <f>IF(A127="","",VLOOKUP(J127,[1]Initiated!$A:$Y,10,0))</f>
        <v/>
      </c>
      <c r="X127" s="5" t="str">
        <f t="shared" si="29"/>
        <v/>
      </c>
    </row>
    <row r="128" spans="1:24" x14ac:dyDescent="0.25">
      <c r="A128" s="6"/>
      <c r="B128" s="6" t="str">
        <f t="shared" si="19"/>
        <v/>
      </c>
      <c r="C128" s="6" t="str">
        <f t="shared" si="20"/>
        <v/>
      </c>
      <c r="D128" s="6"/>
      <c r="E128" s="6"/>
      <c r="F128" s="6"/>
      <c r="G128" s="6"/>
      <c r="H128" s="6" t="str">
        <f t="shared" si="21"/>
        <v/>
      </c>
      <c r="I128" s="6" t="str">
        <f t="shared" ca="1" si="22"/>
        <v/>
      </c>
      <c r="J128" s="3" t="str">
        <f t="shared" si="23"/>
        <v/>
      </c>
      <c r="K128" s="6" t="str">
        <f>IF(A128="","",VLOOKUP(J128,[1]Initiated!$A:$Y,2,0))</f>
        <v/>
      </c>
      <c r="L128" s="2" t="str">
        <f>IF(A128="","",VLOOKUP(J128,[1]Initiated!$A:$Y,5,FALSE))</f>
        <v/>
      </c>
      <c r="M128" s="6" t="str">
        <f>IF(A128="","",VLOOKUP(J128,[1]Initiated!$A:$Y,6,FALSE))</f>
        <v/>
      </c>
      <c r="N128" s="6" t="str">
        <f>IF(A128="","",VLOOKUP(J128,[1]Initiated!$A:$Y,9,FALSE))</f>
        <v/>
      </c>
      <c r="O128" s="3" t="str">
        <f t="shared" si="24"/>
        <v/>
      </c>
      <c r="P128" s="6" t="str">
        <f>IF(OR(A128="", ISNUMBER(SEARCH("PFr", C128))), "", VLOOKUP(J128, [1]Initiated!$A:$Y, 7, FALSE))</f>
        <v/>
      </c>
      <c r="Q128" s="6" t="str">
        <f>IF(OR(A128="", ISNUMBER(SEARCH("PFr", C128))), "", VLOOKUP(J128, [1]Initiated!$A:$Y, 8, 0))</f>
        <v/>
      </c>
      <c r="R128" s="5" t="str">
        <f t="shared" si="25"/>
        <v/>
      </c>
      <c r="S128" s="4" t="str">
        <f>IF(A128="","",VLOOKUP(J128,[1]Initiated!$A:$Y,3,FALSE))</f>
        <v/>
      </c>
      <c r="T128" s="4" t="str">
        <f t="shared" ca="1" si="26"/>
        <v/>
      </c>
      <c r="U128" s="5" t="str">
        <f t="shared" si="27"/>
        <v/>
      </c>
      <c r="V128" s="5" t="str">
        <f t="shared" si="28"/>
        <v/>
      </c>
      <c r="W128" s="4" t="str">
        <f>IF(A128="","",VLOOKUP(J128,[1]Initiated!$A:$Y,10,0))</f>
        <v/>
      </c>
      <c r="X128" s="5" t="str">
        <f t="shared" si="29"/>
        <v/>
      </c>
    </row>
    <row r="129" spans="1:24" x14ac:dyDescent="0.25">
      <c r="A129" s="6"/>
      <c r="B129" s="6" t="str">
        <f t="shared" si="19"/>
        <v/>
      </c>
      <c r="C129" s="6" t="str">
        <f t="shared" si="20"/>
        <v/>
      </c>
      <c r="D129" s="6"/>
      <c r="E129" s="6"/>
      <c r="F129" s="6"/>
      <c r="G129" s="6"/>
      <c r="H129" s="6" t="str">
        <f t="shared" si="21"/>
        <v/>
      </c>
      <c r="I129" s="6" t="str">
        <f t="shared" ca="1" si="22"/>
        <v/>
      </c>
      <c r="J129" s="3" t="str">
        <f t="shared" si="23"/>
        <v/>
      </c>
      <c r="K129" s="6" t="str">
        <f>IF(A129="","",VLOOKUP(J129,[1]Initiated!$A:$Y,2,0))</f>
        <v/>
      </c>
      <c r="L129" s="2" t="str">
        <f>IF(A129="","",VLOOKUP(J129,[1]Initiated!$A:$Y,5,FALSE))</f>
        <v/>
      </c>
      <c r="M129" s="6" t="str">
        <f>IF(A129="","",VLOOKUP(J129,[1]Initiated!$A:$Y,6,FALSE))</f>
        <v/>
      </c>
      <c r="N129" s="6" t="str">
        <f>IF(A129="","",VLOOKUP(J129,[1]Initiated!$A:$Y,9,FALSE))</f>
        <v/>
      </c>
      <c r="O129" s="3" t="str">
        <f t="shared" si="24"/>
        <v/>
      </c>
      <c r="P129" s="6" t="str">
        <f>IF(OR(A129="", ISNUMBER(SEARCH("PFr", C129))), "", VLOOKUP(J129, [1]Initiated!$A:$Y, 7, FALSE))</f>
        <v/>
      </c>
      <c r="Q129" s="6" t="str">
        <f>IF(OR(A129="", ISNUMBER(SEARCH("PFr", C129))), "", VLOOKUP(J129, [1]Initiated!$A:$Y, 8, 0))</f>
        <v/>
      </c>
      <c r="R129" s="5" t="str">
        <f t="shared" si="25"/>
        <v/>
      </c>
      <c r="S129" s="4" t="str">
        <f>IF(A129="","",VLOOKUP(J129,[1]Initiated!$A:$Y,3,FALSE))</f>
        <v/>
      </c>
      <c r="T129" s="4" t="str">
        <f t="shared" ca="1" si="26"/>
        <v/>
      </c>
      <c r="U129" s="5" t="str">
        <f t="shared" si="27"/>
        <v/>
      </c>
      <c r="V129" s="5" t="str">
        <f t="shared" si="28"/>
        <v/>
      </c>
      <c r="W129" s="4" t="str">
        <f>IF(A129="","",VLOOKUP(J129,[1]Initiated!$A:$Y,10,0))</f>
        <v/>
      </c>
      <c r="X129" s="5" t="str">
        <f t="shared" si="29"/>
        <v/>
      </c>
    </row>
    <row r="130" spans="1:24" x14ac:dyDescent="0.25">
      <c r="A130" s="6"/>
      <c r="B130" s="6" t="str">
        <f t="shared" si="19"/>
        <v/>
      </c>
      <c r="C130" s="6" t="str">
        <f t="shared" si="20"/>
        <v/>
      </c>
      <c r="D130" s="6"/>
      <c r="E130" s="6"/>
      <c r="F130" s="6"/>
      <c r="G130" s="6"/>
      <c r="H130" s="6" t="str">
        <f t="shared" si="21"/>
        <v/>
      </c>
      <c r="I130" s="6" t="str">
        <f t="shared" ca="1" si="22"/>
        <v/>
      </c>
      <c r="J130" s="3" t="str">
        <f t="shared" si="23"/>
        <v/>
      </c>
      <c r="K130" s="6" t="str">
        <f>IF(A130="","",VLOOKUP(J130,[1]Initiated!$A:$Y,2,0))</f>
        <v/>
      </c>
      <c r="L130" s="2" t="str">
        <f>IF(A130="","",VLOOKUP(J130,[1]Initiated!$A:$Y,5,FALSE))</f>
        <v/>
      </c>
      <c r="M130" s="6" t="str">
        <f>IF(A130="","",VLOOKUP(J130,[1]Initiated!$A:$Y,6,FALSE))</f>
        <v/>
      </c>
      <c r="N130" s="6" t="str">
        <f>IF(A130="","",VLOOKUP(J130,[1]Initiated!$A:$Y,9,FALSE))</f>
        <v/>
      </c>
      <c r="O130" s="3" t="str">
        <f t="shared" si="24"/>
        <v/>
      </c>
      <c r="P130" s="6" t="str">
        <f>IF(OR(A130="", ISNUMBER(SEARCH("PFr", C130))), "", VLOOKUP(J130, [1]Initiated!$A:$Y, 7, FALSE))</f>
        <v/>
      </c>
      <c r="Q130" s="6" t="str">
        <f>IF(OR(A130="", ISNUMBER(SEARCH("PFr", C130))), "", VLOOKUP(J130, [1]Initiated!$A:$Y, 8, 0))</f>
        <v/>
      </c>
      <c r="R130" s="5" t="str">
        <f t="shared" si="25"/>
        <v/>
      </c>
      <c r="S130" s="4" t="str">
        <f>IF(A130="","",VLOOKUP(J130,[1]Initiated!$A:$Y,3,FALSE))</f>
        <v/>
      </c>
      <c r="T130" s="4" t="str">
        <f t="shared" ca="1" si="26"/>
        <v/>
      </c>
      <c r="U130" s="5" t="str">
        <f t="shared" si="27"/>
        <v/>
      </c>
      <c r="V130" s="5" t="str">
        <f t="shared" si="28"/>
        <v/>
      </c>
      <c r="W130" s="4" t="str">
        <f>IF(A130="","",VLOOKUP(J130,[1]Initiated!$A:$Y,10,0))</f>
        <v/>
      </c>
      <c r="X130" s="5" t="str">
        <f t="shared" si="29"/>
        <v/>
      </c>
    </row>
    <row r="131" spans="1:24" x14ac:dyDescent="0.25">
      <c r="A131" s="6"/>
      <c r="B131" s="6" t="str">
        <f t="shared" ref="B131:B194" si="30">IF(A131="","",LEFT(A131,FIND(".",A131)-1))</f>
        <v/>
      </c>
      <c r="C131" s="6" t="str">
        <f t="shared" ref="C131:C194" si="31">IF(A131="","",IF(ISNUMBER(FIND(".",A131,FIND(".",A131)+1)),MID(A131,FIND(".",A131)+1,FIND(".",A131,FIND(".",A131)+1)-FIND(".",A131)-1),MID(A131,FIND(".",A131)+1,LEN(A131)-FIND(".",A131))))</f>
        <v/>
      </c>
      <c r="D131" s="6"/>
      <c r="E131" s="6"/>
      <c r="F131" s="6"/>
      <c r="G131" s="6"/>
      <c r="H131" s="6" t="str">
        <f t="shared" ref="H131:H194" si="32">IF(A131="","","*SS OK Only")</f>
        <v/>
      </c>
      <c r="I131" s="6" t="str">
        <f t="shared" ref="I131:I194" ca="1" si="33">IF(A131="","",B131&amp;" "&amp;K131&amp;" in "&amp;M131&amp;" "&amp;TEXT(TODAY(),"yyyy-mm-dd")&amp;" "&amp;C131)</f>
        <v/>
      </c>
      <c r="J131" s="3" t="str">
        <f t="shared" ref="J131:J194" si="34">IF(A131="","",B131)</f>
        <v/>
      </c>
      <c r="K131" s="6" t="str">
        <f>IF(A131="","",VLOOKUP(J131,[1]Initiated!$A:$Y,2,0))</f>
        <v/>
      </c>
      <c r="L131" s="2" t="str">
        <f>IF(A131="","",VLOOKUP(J131,[1]Initiated!$A:$Y,5,FALSE))</f>
        <v/>
      </c>
      <c r="M131" s="6" t="str">
        <f>IF(A131="","",VLOOKUP(J131,[1]Initiated!$A:$Y,6,FALSE))</f>
        <v/>
      </c>
      <c r="N131" s="6" t="str">
        <f>IF(A131="","",VLOOKUP(J131,[1]Initiated!$A:$Y,9,FALSE))</f>
        <v/>
      </c>
      <c r="O131" s="3" t="str">
        <f t="shared" ref="O131:O194" si="35">IF(A131="","",C131)</f>
        <v/>
      </c>
      <c r="P131" s="6" t="str">
        <f>IF(OR(A131="", ISNUMBER(SEARCH("PFr", C131))), "", VLOOKUP(J131, [1]Initiated!$A:$Y, 7, FALSE))</f>
        <v/>
      </c>
      <c r="Q131" s="6" t="str">
        <f>IF(OR(A131="", ISNUMBER(SEARCH("PFr", C131))), "", VLOOKUP(J131, [1]Initiated!$A:$Y, 8, 0))</f>
        <v/>
      </c>
      <c r="R131" s="5" t="str">
        <f t="shared" ref="R131:R194" si="36">IF(OR(C131="", ISNUMBER(SEARCH("PFr", C131))), "", IF(ISNUMBER(SEARCH("16C", C131)), "16°C", IF(ISNUMBER(SEARCH("22C", C131)), "22°C", IF(ISNUMBER(SEARCH("25C", C131)), "25°C", IF(ISNUMBER(SEARCH("30C", C131)), "30°C", "37°C")))))</f>
        <v/>
      </c>
      <c r="S131" s="4" t="str">
        <f>IF(A131="","",VLOOKUP(J131,[1]Initiated!$A:$Y,3,FALSE))</f>
        <v/>
      </c>
      <c r="T131" s="4" t="str">
        <f t="shared" ref="T131:T194" ca="1" si="37">IF(A131="","",TODAY())</f>
        <v/>
      </c>
      <c r="U131" s="5" t="str">
        <f t="shared" ref="U131:U194" si="38">IF(A131="","","-20°C")</f>
        <v/>
      </c>
      <c r="V131" s="5" t="str">
        <f t="shared" ref="V131:V194" si="39">IF(OR(C131="", ISNUMBER(SEARCH("PFr", C131))), "", IF(ISNUMBER(SEARCH("Stbl", C131)), "Stable", "Top10"))</f>
        <v/>
      </c>
      <c r="W131" s="4" t="str">
        <f>IF(A131="","",VLOOKUP(J131,[1]Initiated!$A:$Y,10,0))</f>
        <v/>
      </c>
      <c r="X131" s="5" t="str">
        <f t="shared" ref="X131:X194" si="40">IF(OR(A131="", ISNUMBER(SEARCH("PFr", C131))), "", "E. coli")</f>
        <v/>
      </c>
    </row>
    <row r="132" spans="1:24" x14ac:dyDescent="0.25">
      <c r="A132" s="6"/>
      <c r="B132" s="6" t="str">
        <f t="shared" si="30"/>
        <v/>
      </c>
      <c r="C132" s="6" t="str">
        <f t="shared" si="31"/>
        <v/>
      </c>
      <c r="D132" s="6"/>
      <c r="E132" s="6"/>
      <c r="F132" s="6"/>
      <c r="G132" s="6"/>
      <c r="H132" s="6" t="str">
        <f t="shared" si="32"/>
        <v/>
      </c>
      <c r="I132" s="6" t="str">
        <f t="shared" ca="1" si="33"/>
        <v/>
      </c>
      <c r="J132" s="3" t="str">
        <f t="shared" si="34"/>
        <v/>
      </c>
      <c r="K132" s="6" t="str">
        <f>IF(A132="","",VLOOKUP(J132,[1]Initiated!$A:$Y,2,0))</f>
        <v/>
      </c>
      <c r="L132" s="2" t="str">
        <f>IF(A132="","",VLOOKUP(J132,[1]Initiated!$A:$Y,5,FALSE))</f>
        <v/>
      </c>
      <c r="M132" s="6" t="str">
        <f>IF(A132="","",VLOOKUP(J132,[1]Initiated!$A:$Y,6,FALSE))</f>
        <v/>
      </c>
      <c r="N132" s="6" t="str">
        <f>IF(A132="","",VLOOKUP(J132,[1]Initiated!$A:$Y,9,FALSE))</f>
        <v/>
      </c>
      <c r="O132" s="3" t="str">
        <f t="shared" si="35"/>
        <v/>
      </c>
      <c r="P132" s="6" t="str">
        <f>IF(OR(A132="", ISNUMBER(SEARCH("PFr", C132))), "", VLOOKUP(J132, [1]Initiated!$A:$Y, 7, FALSE))</f>
        <v/>
      </c>
      <c r="Q132" s="6" t="str">
        <f>IF(OR(A132="", ISNUMBER(SEARCH("PFr", C132))), "", VLOOKUP(J132, [1]Initiated!$A:$Y, 8, 0))</f>
        <v/>
      </c>
      <c r="R132" s="5" t="str">
        <f t="shared" si="36"/>
        <v/>
      </c>
      <c r="S132" s="4" t="str">
        <f>IF(A132="","",VLOOKUP(J132,[1]Initiated!$A:$Y,3,FALSE))</f>
        <v/>
      </c>
      <c r="T132" s="4" t="str">
        <f t="shared" ca="1" si="37"/>
        <v/>
      </c>
      <c r="U132" s="5" t="str">
        <f t="shared" si="38"/>
        <v/>
      </c>
      <c r="V132" s="5" t="str">
        <f t="shared" si="39"/>
        <v/>
      </c>
      <c r="W132" s="4" t="str">
        <f>IF(A132="","",VLOOKUP(J132,[1]Initiated!$A:$Y,10,0))</f>
        <v/>
      </c>
      <c r="X132" s="5" t="str">
        <f t="shared" si="40"/>
        <v/>
      </c>
    </row>
    <row r="133" spans="1:24" x14ac:dyDescent="0.25">
      <c r="A133" s="6"/>
      <c r="B133" s="6" t="str">
        <f t="shared" si="30"/>
        <v/>
      </c>
      <c r="C133" s="6" t="str">
        <f t="shared" si="31"/>
        <v/>
      </c>
      <c r="D133" s="6"/>
      <c r="E133" s="6"/>
      <c r="F133" s="6"/>
      <c r="G133" s="6"/>
      <c r="H133" s="6" t="str">
        <f t="shared" si="32"/>
        <v/>
      </c>
      <c r="I133" s="6" t="str">
        <f t="shared" ca="1" si="33"/>
        <v/>
      </c>
      <c r="J133" s="3" t="str">
        <f t="shared" si="34"/>
        <v/>
      </c>
      <c r="K133" s="6" t="str">
        <f>IF(A133="","",VLOOKUP(J133,[1]Initiated!$A:$Y,2,0))</f>
        <v/>
      </c>
      <c r="L133" s="2" t="str">
        <f>IF(A133="","",VLOOKUP(J133,[1]Initiated!$A:$Y,5,FALSE))</f>
        <v/>
      </c>
      <c r="M133" s="6" t="str">
        <f>IF(A133="","",VLOOKUP(J133,[1]Initiated!$A:$Y,6,FALSE))</f>
        <v/>
      </c>
      <c r="N133" s="6" t="str">
        <f>IF(A133="","",VLOOKUP(J133,[1]Initiated!$A:$Y,9,FALSE))</f>
        <v/>
      </c>
      <c r="O133" s="3" t="str">
        <f t="shared" si="35"/>
        <v/>
      </c>
      <c r="P133" s="6" t="str">
        <f>IF(OR(A133="", ISNUMBER(SEARCH("PFr", C133))), "", VLOOKUP(J133, [1]Initiated!$A:$Y, 7, FALSE))</f>
        <v/>
      </c>
      <c r="Q133" s="6" t="str">
        <f>IF(OR(A133="", ISNUMBER(SEARCH("PFr", C133))), "", VLOOKUP(J133, [1]Initiated!$A:$Y, 8, 0))</f>
        <v/>
      </c>
      <c r="R133" s="5" t="str">
        <f t="shared" si="36"/>
        <v/>
      </c>
      <c r="S133" s="4" t="str">
        <f>IF(A133="","",VLOOKUP(J133,[1]Initiated!$A:$Y,3,FALSE))</f>
        <v/>
      </c>
      <c r="T133" s="4" t="str">
        <f t="shared" ca="1" si="37"/>
        <v/>
      </c>
      <c r="U133" s="5" t="str">
        <f t="shared" si="38"/>
        <v/>
      </c>
      <c r="V133" s="5" t="str">
        <f t="shared" si="39"/>
        <v/>
      </c>
      <c r="W133" s="4" t="str">
        <f>IF(A133="","",VLOOKUP(J133,[1]Initiated!$A:$Y,10,0))</f>
        <v/>
      </c>
      <c r="X133" s="5" t="str">
        <f t="shared" si="40"/>
        <v/>
      </c>
    </row>
    <row r="134" spans="1:24" x14ac:dyDescent="0.25">
      <c r="A134" s="6"/>
      <c r="B134" s="6" t="str">
        <f t="shared" si="30"/>
        <v/>
      </c>
      <c r="C134" s="6" t="str">
        <f t="shared" si="31"/>
        <v/>
      </c>
      <c r="D134" s="6"/>
      <c r="E134" s="6"/>
      <c r="F134" s="6"/>
      <c r="G134" s="6"/>
      <c r="H134" s="6" t="str">
        <f t="shared" si="32"/>
        <v/>
      </c>
      <c r="I134" s="6" t="str">
        <f t="shared" ca="1" si="33"/>
        <v/>
      </c>
      <c r="J134" s="3" t="str">
        <f t="shared" si="34"/>
        <v/>
      </c>
      <c r="K134" s="6" t="str">
        <f>IF(A134="","",VLOOKUP(J134,[1]Initiated!$A:$Y,2,0))</f>
        <v/>
      </c>
      <c r="L134" s="2" t="str">
        <f>IF(A134="","",VLOOKUP(J134,[1]Initiated!$A:$Y,5,FALSE))</f>
        <v/>
      </c>
      <c r="M134" s="6" t="str">
        <f>IF(A134="","",VLOOKUP(J134,[1]Initiated!$A:$Y,6,FALSE))</f>
        <v/>
      </c>
      <c r="N134" s="6" t="str">
        <f>IF(A134="","",VLOOKUP(J134,[1]Initiated!$A:$Y,9,FALSE))</f>
        <v/>
      </c>
      <c r="O134" s="3" t="str">
        <f t="shared" si="35"/>
        <v/>
      </c>
      <c r="P134" s="6" t="str">
        <f>IF(OR(A134="", ISNUMBER(SEARCH("PFr", C134))), "", VLOOKUP(J134, [1]Initiated!$A:$Y, 7, FALSE))</f>
        <v/>
      </c>
      <c r="Q134" s="6" t="str">
        <f>IF(OR(A134="", ISNUMBER(SEARCH("PFr", C134))), "", VLOOKUP(J134, [1]Initiated!$A:$Y, 8, 0))</f>
        <v/>
      </c>
      <c r="R134" s="5" t="str">
        <f t="shared" si="36"/>
        <v/>
      </c>
      <c r="S134" s="4" t="str">
        <f>IF(A134="","",VLOOKUP(J134,[1]Initiated!$A:$Y,3,FALSE))</f>
        <v/>
      </c>
      <c r="T134" s="4" t="str">
        <f t="shared" ca="1" si="37"/>
        <v/>
      </c>
      <c r="U134" s="5" t="str">
        <f t="shared" si="38"/>
        <v/>
      </c>
      <c r="V134" s="5" t="str">
        <f t="shared" si="39"/>
        <v/>
      </c>
      <c r="W134" s="4" t="str">
        <f>IF(A134="","",VLOOKUP(J134,[1]Initiated!$A:$Y,10,0))</f>
        <v/>
      </c>
      <c r="X134" s="5" t="str">
        <f t="shared" si="40"/>
        <v/>
      </c>
    </row>
    <row r="135" spans="1:24" x14ac:dyDescent="0.25">
      <c r="A135" s="6"/>
      <c r="B135" s="6" t="str">
        <f t="shared" si="30"/>
        <v/>
      </c>
      <c r="C135" s="6" t="str">
        <f t="shared" si="31"/>
        <v/>
      </c>
      <c r="D135" s="6"/>
      <c r="E135" s="6"/>
      <c r="F135" s="6"/>
      <c r="G135" s="6"/>
      <c r="H135" s="6" t="str">
        <f t="shared" si="32"/>
        <v/>
      </c>
      <c r="I135" s="6" t="str">
        <f t="shared" ca="1" si="33"/>
        <v/>
      </c>
      <c r="J135" s="3" t="str">
        <f t="shared" si="34"/>
        <v/>
      </c>
      <c r="K135" s="6" t="str">
        <f>IF(A135="","",VLOOKUP(J135,[1]Initiated!$A:$Y,2,0))</f>
        <v/>
      </c>
      <c r="L135" s="2" t="str">
        <f>IF(A135="","",VLOOKUP(J135,[1]Initiated!$A:$Y,5,FALSE))</f>
        <v/>
      </c>
      <c r="M135" s="6" t="str">
        <f>IF(A135="","",VLOOKUP(J135,[1]Initiated!$A:$Y,6,FALSE))</f>
        <v/>
      </c>
      <c r="N135" s="6" t="str">
        <f>IF(A135="","",VLOOKUP(J135,[1]Initiated!$A:$Y,9,FALSE))</f>
        <v/>
      </c>
      <c r="O135" s="3" t="str">
        <f t="shared" si="35"/>
        <v/>
      </c>
      <c r="P135" s="6" t="str">
        <f>IF(OR(A135="", ISNUMBER(SEARCH("PFr", C135))), "", VLOOKUP(J135, [1]Initiated!$A:$Y, 7, FALSE))</f>
        <v/>
      </c>
      <c r="Q135" s="6" t="str">
        <f>IF(OR(A135="", ISNUMBER(SEARCH("PFr", C135))), "", VLOOKUP(J135, [1]Initiated!$A:$Y, 8, 0))</f>
        <v/>
      </c>
      <c r="R135" s="5" t="str">
        <f t="shared" si="36"/>
        <v/>
      </c>
      <c r="S135" s="4" t="str">
        <f>IF(A135="","",VLOOKUP(J135,[1]Initiated!$A:$Y,3,FALSE))</f>
        <v/>
      </c>
      <c r="T135" s="4" t="str">
        <f t="shared" ca="1" si="37"/>
        <v/>
      </c>
      <c r="U135" s="5" t="str">
        <f t="shared" si="38"/>
        <v/>
      </c>
      <c r="V135" s="5" t="str">
        <f t="shared" si="39"/>
        <v/>
      </c>
      <c r="W135" s="4" t="str">
        <f>IF(A135="","",VLOOKUP(J135,[1]Initiated!$A:$Y,10,0))</f>
        <v/>
      </c>
      <c r="X135" s="5" t="str">
        <f t="shared" si="40"/>
        <v/>
      </c>
    </row>
    <row r="136" spans="1:24" x14ac:dyDescent="0.25">
      <c r="A136" s="6"/>
      <c r="B136" s="6" t="str">
        <f t="shared" si="30"/>
        <v/>
      </c>
      <c r="C136" s="6" t="str">
        <f t="shared" si="31"/>
        <v/>
      </c>
      <c r="D136" s="6"/>
      <c r="E136" s="6"/>
      <c r="F136" s="6"/>
      <c r="G136" s="6"/>
      <c r="H136" s="6" t="str">
        <f t="shared" si="32"/>
        <v/>
      </c>
      <c r="I136" s="6" t="str">
        <f t="shared" ca="1" si="33"/>
        <v/>
      </c>
      <c r="J136" s="3" t="str">
        <f t="shared" si="34"/>
        <v/>
      </c>
      <c r="K136" s="6" t="str">
        <f>IF(A136="","",VLOOKUP(J136,[1]Initiated!$A:$Y,2,0))</f>
        <v/>
      </c>
      <c r="L136" s="2" t="str">
        <f>IF(A136="","",VLOOKUP(J136,[1]Initiated!$A:$Y,5,FALSE))</f>
        <v/>
      </c>
      <c r="M136" s="6" t="str">
        <f>IF(A136="","",VLOOKUP(J136,[1]Initiated!$A:$Y,6,FALSE))</f>
        <v/>
      </c>
      <c r="N136" s="6" t="str">
        <f>IF(A136="","",VLOOKUP(J136,[1]Initiated!$A:$Y,9,FALSE))</f>
        <v/>
      </c>
      <c r="O136" s="3" t="str">
        <f t="shared" si="35"/>
        <v/>
      </c>
      <c r="P136" s="6" t="str">
        <f>IF(OR(A136="", ISNUMBER(SEARCH("PFr", C136))), "", VLOOKUP(J136, [1]Initiated!$A:$Y, 7, FALSE))</f>
        <v/>
      </c>
      <c r="Q136" s="6" t="str">
        <f>IF(OR(A136="", ISNUMBER(SEARCH("PFr", C136))), "", VLOOKUP(J136, [1]Initiated!$A:$Y, 8, 0))</f>
        <v/>
      </c>
      <c r="R136" s="5" t="str">
        <f t="shared" si="36"/>
        <v/>
      </c>
      <c r="S136" s="4" t="str">
        <f>IF(A136="","",VLOOKUP(J136,[1]Initiated!$A:$Y,3,FALSE))</f>
        <v/>
      </c>
      <c r="T136" s="4" t="str">
        <f t="shared" ca="1" si="37"/>
        <v/>
      </c>
      <c r="U136" s="5" t="str">
        <f t="shared" si="38"/>
        <v/>
      </c>
      <c r="V136" s="5" t="str">
        <f t="shared" si="39"/>
        <v/>
      </c>
      <c r="W136" s="4" t="str">
        <f>IF(A136="","",VLOOKUP(J136,[1]Initiated!$A:$Y,10,0))</f>
        <v/>
      </c>
      <c r="X136" s="5" t="str">
        <f t="shared" si="40"/>
        <v/>
      </c>
    </row>
    <row r="137" spans="1:24" x14ac:dyDescent="0.25">
      <c r="A137" s="6"/>
      <c r="B137" s="6" t="str">
        <f t="shared" si="30"/>
        <v/>
      </c>
      <c r="C137" s="6" t="str">
        <f t="shared" si="31"/>
        <v/>
      </c>
      <c r="D137" s="6"/>
      <c r="E137" s="6"/>
      <c r="F137" s="6"/>
      <c r="G137" s="6"/>
      <c r="H137" s="6" t="str">
        <f t="shared" si="32"/>
        <v/>
      </c>
      <c r="I137" s="6" t="str">
        <f t="shared" ca="1" si="33"/>
        <v/>
      </c>
      <c r="J137" s="3" t="str">
        <f t="shared" si="34"/>
        <v/>
      </c>
      <c r="K137" s="6" t="str">
        <f>IF(A137="","",VLOOKUP(J137,[1]Initiated!$A:$Y,2,0))</f>
        <v/>
      </c>
      <c r="L137" s="2" t="str">
        <f>IF(A137="","",VLOOKUP(J137,[1]Initiated!$A:$Y,5,FALSE))</f>
        <v/>
      </c>
      <c r="M137" s="6" t="str">
        <f>IF(A137="","",VLOOKUP(J137,[1]Initiated!$A:$Y,6,FALSE))</f>
        <v/>
      </c>
      <c r="N137" s="6" t="str">
        <f>IF(A137="","",VLOOKUP(J137,[1]Initiated!$A:$Y,9,FALSE))</f>
        <v/>
      </c>
      <c r="O137" s="3" t="str">
        <f t="shared" si="35"/>
        <v/>
      </c>
      <c r="P137" s="6" t="str">
        <f>IF(OR(A137="", ISNUMBER(SEARCH("PFr", C137))), "", VLOOKUP(J137, [1]Initiated!$A:$Y, 7, FALSE))</f>
        <v/>
      </c>
      <c r="Q137" s="6" t="str">
        <f>IF(OR(A137="", ISNUMBER(SEARCH("PFr", C137))), "", VLOOKUP(J137, [1]Initiated!$A:$Y, 8, 0))</f>
        <v/>
      </c>
      <c r="R137" s="5" t="str">
        <f t="shared" si="36"/>
        <v/>
      </c>
      <c r="S137" s="4" t="str">
        <f>IF(A137="","",VLOOKUP(J137,[1]Initiated!$A:$Y,3,FALSE))</f>
        <v/>
      </c>
      <c r="T137" s="4" t="str">
        <f t="shared" ca="1" si="37"/>
        <v/>
      </c>
      <c r="U137" s="5" t="str">
        <f t="shared" si="38"/>
        <v/>
      </c>
      <c r="V137" s="5" t="str">
        <f t="shared" si="39"/>
        <v/>
      </c>
      <c r="W137" s="4" t="str">
        <f>IF(A137="","",VLOOKUP(J137,[1]Initiated!$A:$Y,10,0))</f>
        <v/>
      </c>
      <c r="X137" s="5" t="str">
        <f t="shared" si="40"/>
        <v/>
      </c>
    </row>
    <row r="138" spans="1:24" x14ac:dyDescent="0.25">
      <c r="A138" s="6"/>
      <c r="B138" s="6" t="str">
        <f t="shared" si="30"/>
        <v/>
      </c>
      <c r="C138" s="6" t="str">
        <f t="shared" si="31"/>
        <v/>
      </c>
      <c r="D138" s="6"/>
      <c r="E138" s="6"/>
      <c r="F138" s="6"/>
      <c r="G138" s="6"/>
      <c r="H138" s="6" t="str">
        <f t="shared" si="32"/>
        <v/>
      </c>
      <c r="I138" s="6" t="str">
        <f t="shared" ca="1" si="33"/>
        <v/>
      </c>
      <c r="J138" s="3" t="str">
        <f t="shared" si="34"/>
        <v/>
      </c>
      <c r="K138" s="6" t="str">
        <f>IF(A138="","",VLOOKUP(J138,[1]Initiated!$A:$Y,2,0))</f>
        <v/>
      </c>
      <c r="L138" s="2" t="str">
        <f>IF(A138="","",VLOOKUP(J138,[1]Initiated!$A:$Y,5,FALSE))</f>
        <v/>
      </c>
      <c r="M138" s="6" t="str">
        <f>IF(A138="","",VLOOKUP(J138,[1]Initiated!$A:$Y,6,FALSE))</f>
        <v/>
      </c>
      <c r="N138" s="6" t="str">
        <f>IF(A138="","",VLOOKUP(J138,[1]Initiated!$A:$Y,9,FALSE))</f>
        <v/>
      </c>
      <c r="O138" s="3" t="str">
        <f t="shared" si="35"/>
        <v/>
      </c>
      <c r="P138" s="6" t="str">
        <f>IF(OR(A138="", ISNUMBER(SEARCH("PFr", C138))), "", VLOOKUP(J138, [1]Initiated!$A:$Y, 7, FALSE))</f>
        <v/>
      </c>
      <c r="Q138" s="6" t="str">
        <f>IF(OR(A138="", ISNUMBER(SEARCH("PFr", C138))), "", VLOOKUP(J138, [1]Initiated!$A:$Y, 8, 0))</f>
        <v/>
      </c>
      <c r="R138" s="5" t="str">
        <f t="shared" si="36"/>
        <v/>
      </c>
      <c r="S138" s="4" t="str">
        <f>IF(A138="","",VLOOKUP(J138,[1]Initiated!$A:$Y,3,FALSE))</f>
        <v/>
      </c>
      <c r="T138" s="4" t="str">
        <f t="shared" ca="1" si="37"/>
        <v/>
      </c>
      <c r="U138" s="5" t="str">
        <f t="shared" si="38"/>
        <v/>
      </c>
      <c r="V138" s="5" t="str">
        <f t="shared" si="39"/>
        <v/>
      </c>
      <c r="W138" s="4" t="str">
        <f>IF(A138="","",VLOOKUP(J138,[1]Initiated!$A:$Y,10,0))</f>
        <v/>
      </c>
      <c r="X138" s="5" t="str">
        <f t="shared" si="40"/>
        <v/>
      </c>
    </row>
    <row r="139" spans="1:24" x14ac:dyDescent="0.25">
      <c r="A139" s="6"/>
      <c r="B139" s="6" t="str">
        <f t="shared" si="30"/>
        <v/>
      </c>
      <c r="C139" s="6" t="str">
        <f t="shared" si="31"/>
        <v/>
      </c>
      <c r="D139" s="6"/>
      <c r="E139" s="6"/>
      <c r="F139" s="6"/>
      <c r="G139" s="6"/>
      <c r="H139" s="6" t="str">
        <f t="shared" si="32"/>
        <v/>
      </c>
      <c r="I139" s="6" t="str">
        <f t="shared" ca="1" si="33"/>
        <v/>
      </c>
      <c r="J139" s="3" t="str">
        <f t="shared" si="34"/>
        <v/>
      </c>
      <c r="K139" s="6" t="str">
        <f>IF(A139="","",VLOOKUP(J139,[1]Initiated!$A:$Y,2,0))</f>
        <v/>
      </c>
      <c r="L139" s="2" t="str">
        <f>IF(A139="","",VLOOKUP(J139,[1]Initiated!$A:$Y,5,FALSE))</f>
        <v/>
      </c>
      <c r="M139" s="6" t="str">
        <f>IF(A139="","",VLOOKUP(J139,[1]Initiated!$A:$Y,6,FALSE))</f>
        <v/>
      </c>
      <c r="N139" s="6" t="str">
        <f>IF(A139="","",VLOOKUP(J139,[1]Initiated!$A:$Y,9,FALSE))</f>
        <v/>
      </c>
      <c r="O139" s="3" t="str">
        <f t="shared" si="35"/>
        <v/>
      </c>
      <c r="P139" s="6" t="str">
        <f>IF(OR(A139="", ISNUMBER(SEARCH("PFr", C139))), "", VLOOKUP(J139, [1]Initiated!$A:$Y, 7, FALSE))</f>
        <v/>
      </c>
      <c r="Q139" s="6" t="str">
        <f>IF(OR(A139="", ISNUMBER(SEARCH("PFr", C139))), "", VLOOKUP(J139, [1]Initiated!$A:$Y, 8, 0))</f>
        <v/>
      </c>
      <c r="R139" s="5" t="str">
        <f t="shared" si="36"/>
        <v/>
      </c>
      <c r="S139" s="4" t="str">
        <f>IF(A139="","",VLOOKUP(J139,[1]Initiated!$A:$Y,3,FALSE))</f>
        <v/>
      </c>
      <c r="T139" s="4" t="str">
        <f t="shared" ca="1" si="37"/>
        <v/>
      </c>
      <c r="U139" s="5" t="str">
        <f t="shared" si="38"/>
        <v/>
      </c>
      <c r="V139" s="5" t="str">
        <f t="shared" si="39"/>
        <v/>
      </c>
      <c r="W139" s="4" t="str">
        <f>IF(A139="","",VLOOKUP(J139,[1]Initiated!$A:$Y,10,0))</f>
        <v/>
      </c>
      <c r="X139" s="5" t="str">
        <f t="shared" si="40"/>
        <v/>
      </c>
    </row>
    <row r="140" spans="1:24" x14ac:dyDescent="0.25">
      <c r="A140" s="6"/>
      <c r="B140" s="6" t="str">
        <f t="shared" si="30"/>
        <v/>
      </c>
      <c r="C140" s="6" t="str">
        <f t="shared" si="31"/>
        <v/>
      </c>
      <c r="D140" s="6"/>
      <c r="E140" s="6"/>
      <c r="F140" s="6"/>
      <c r="G140" s="6"/>
      <c r="H140" s="6" t="str">
        <f t="shared" si="32"/>
        <v/>
      </c>
      <c r="I140" s="6" t="str">
        <f t="shared" ca="1" si="33"/>
        <v/>
      </c>
      <c r="J140" s="3" t="str">
        <f t="shared" si="34"/>
        <v/>
      </c>
      <c r="K140" s="6" t="str">
        <f>IF(A140="","",VLOOKUP(J140,[1]Initiated!$A:$Y,2,0))</f>
        <v/>
      </c>
      <c r="L140" s="2" t="str">
        <f>IF(A140="","",VLOOKUP(J140,[1]Initiated!$A:$Y,5,FALSE))</f>
        <v/>
      </c>
      <c r="M140" s="6" t="str">
        <f>IF(A140="","",VLOOKUP(J140,[1]Initiated!$A:$Y,6,FALSE))</f>
        <v/>
      </c>
      <c r="N140" s="6" t="str">
        <f>IF(A140="","",VLOOKUP(J140,[1]Initiated!$A:$Y,9,FALSE))</f>
        <v/>
      </c>
      <c r="O140" s="3" t="str">
        <f t="shared" si="35"/>
        <v/>
      </c>
      <c r="P140" s="6" t="str">
        <f>IF(OR(A140="", ISNUMBER(SEARCH("PFr", C140))), "", VLOOKUP(J140, [1]Initiated!$A:$Y, 7, FALSE))</f>
        <v/>
      </c>
      <c r="Q140" s="6" t="str">
        <f>IF(OR(A140="", ISNUMBER(SEARCH("PFr", C140))), "", VLOOKUP(J140, [1]Initiated!$A:$Y, 8, 0))</f>
        <v/>
      </c>
      <c r="R140" s="5" t="str">
        <f t="shared" si="36"/>
        <v/>
      </c>
      <c r="S140" s="4" t="str">
        <f>IF(A140="","",VLOOKUP(J140,[1]Initiated!$A:$Y,3,FALSE))</f>
        <v/>
      </c>
      <c r="T140" s="4" t="str">
        <f t="shared" ca="1" si="37"/>
        <v/>
      </c>
      <c r="U140" s="5" t="str">
        <f t="shared" si="38"/>
        <v/>
      </c>
      <c r="V140" s="5" t="str">
        <f t="shared" si="39"/>
        <v/>
      </c>
      <c r="W140" s="4" t="str">
        <f>IF(A140="","",VLOOKUP(J140,[1]Initiated!$A:$Y,10,0))</f>
        <v/>
      </c>
      <c r="X140" s="5" t="str">
        <f t="shared" si="40"/>
        <v/>
      </c>
    </row>
    <row r="141" spans="1:24" x14ac:dyDescent="0.25">
      <c r="A141" s="6"/>
      <c r="B141" s="6" t="str">
        <f t="shared" si="30"/>
        <v/>
      </c>
      <c r="C141" s="6" t="str">
        <f t="shared" si="31"/>
        <v/>
      </c>
      <c r="D141" s="6"/>
      <c r="E141" s="6"/>
      <c r="F141" s="6"/>
      <c r="G141" s="6"/>
      <c r="H141" s="6" t="str">
        <f t="shared" si="32"/>
        <v/>
      </c>
      <c r="I141" s="6" t="str">
        <f t="shared" ca="1" si="33"/>
        <v/>
      </c>
      <c r="J141" s="3" t="str">
        <f t="shared" si="34"/>
        <v/>
      </c>
      <c r="K141" s="6" t="str">
        <f>IF(A141="","",VLOOKUP(J141,[1]Initiated!$A:$Y,2,0))</f>
        <v/>
      </c>
      <c r="L141" s="2" t="str">
        <f>IF(A141="","",VLOOKUP(J141,[1]Initiated!$A:$Y,5,FALSE))</f>
        <v/>
      </c>
      <c r="M141" s="6" t="str">
        <f>IF(A141="","",VLOOKUP(J141,[1]Initiated!$A:$Y,6,FALSE))</f>
        <v/>
      </c>
      <c r="N141" s="6" t="str">
        <f>IF(A141="","",VLOOKUP(J141,[1]Initiated!$A:$Y,9,FALSE))</f>
        <v/>
      </c>
      <c r="O141" s="3" t="str">
        <f t="shared" si="35"/>
        <v/>
      </c>
      <c r="P141" s="6" t="str">
        <f>IF(OR(A141="", ISNUMBER(SEARCH("PFr", C141))), "", VLOOKUP(J141, [1]Initiated!$A:$Y, 7, FALSE))</f>
        <v/>
      </c>
      <c r="Q141" s="6" t="str">
        <f>IF(OR(A141="", ISNUMBER(SEARCH("PFr", C141))), "", VLOOKUP(J141, [1]Initiated!$A:$Y, 8, 0))</f>
        <v/>
      </c>
      <c r="R141" s="5" t="str">
        <f t="shared" si="36"/>
        <v/>
      </c>
      <c r="S141" s="4" t="str">
        <f>IF(A141="","",VLOOKUP(J141,[1]Initiated!$A:$Y,3,FALSE))</f>
        <v/>
      </c>
      <c r="T141" s="4" t="str">
        <f t="shared" ca="1" si="37"/>
        <v/>
      </c>
      <c r="U141" s="5" t="str">
        <f t="shared" si="38"/>
        <v/>
      </c>
      <c r="V141" s="5" t="str">
        <f t="shared" si="39"/>
        <v/>
      </c>
      <c r="W141" s="4" t="str">
        <f>IF(A141="","",VLOOKUP(J141,[1]Initiated!$A:$Y,10,0))</f>
        <v/>
      </c>
      <c r="X141" s="5" t="str">
        <f t="shared" si="40"/>
        <v/>
      </c>
    </row>
    <row r="142" spans="1:24" x14ac:dyDescent="0.25">
      <c r="A142" s="6"/>
      <c r="B142" s="6" t="str">
        <f t="shared" si="30"/>
        <v/>
      </c>
      <c r="C142" s="6" t="str">
        <f t="shared" si="31"/>
        <v/>
      </c>
      <c r="D142" s="6"/>
      <c r="E142" s="6"/>
      <c r="F142" s="6"/>
      <c r="G142" s="6"/>
      <c r="H142" s="6" t="str">
        <f t="shared" si="32"/>
        <v/>
      </c>
      <c r="I142" s="6" t="str">
        <f t="shared" ca="1" si="33"/>
        <v/>
      </c>
      <c r="J142" s="3" t="str">
        <f t="shared" si="34"/>
        <v/>
      </c>
      <c r="K142" s="6" t="str">
        <f>IF(A142="","",VLOOKUP(J142,[1]Initiated!$A:$Y,2,0))</f>
        <v/>
      </c>
      <c r="L142" s="2" t="str">
        <f>IF(A142="","",VLOOKUP(J142,[1]Initiated!$A:$Y,5,FALSE))</f>
        <v/>
      </c>
      <c r="M142" s="6" t="str">
        <f>IF(A142="","",VLOOKUP(J142,[1]Initiated!$A:$Y,6,FALSE))</f>
        <v/>
      </c>
      <c r="N142" s="6" t="str">
        <f>IF(A142="","",VLOOKUP(J142,[1]Initiated!$A:$Y,9,FALSE))</f>
        <v/>
      </c>
      <c r="O142" s="3" t="str">
        <f t="shared" si="35"/>
        <v/>
      </c>
      <c r="P142" s="6" t="str">
        <f>IF(OR(A142="", ISNUMBER(SEARCH("PFr", C142))), "", VLOOKUP(J142, [1]Initiated!$A:$Y, 7, FALSE))</f>
        <v/>
      </c>
      <c r="Q142" s="6" t="str">
        <f>IF(OR(A142="", ISNUMBER(SEARCH("PFr", C142))), "", VLOOKUP(J142, [1]Initiated!$A:$Y, 8, 0))</f>
        <v/>
      </c>
      <c r="R142" s="5" t="str">
        <f t="shared" si="36"/>
        <v/>
      </c>
      <c r="S142" s="4" t="str">
        <f>IF(A142="","",VLOOKUP(J142,[1]Initiated!$A:$Y,3,FALSE))</f>
        <v/>
      </c>
      <c r="T142" s="4" t="str">
        <f t="shared" ca="1" si="37"/>
        <v/>
      </c>
      <c r="U142" s="5" t="str">
        <f t="shared" si="38"/>
        <v/>
      </c>
      <c r="V142" s="5" t="str">
        <f t="shared" si="39"/>
        <v/>
      </c>
      <c r="W142" s="4" t="str">
        <f>IF(A142="","",VLOOKUP(J142,[1]Initiated!$A:$Y,10,0))</f>
        <v/>
      </c>
      <c r="X142" s="5" t="str">
        <f t="shared" si="40"/>
        <v/>
      </c>
    </row>
    <row r="143" spans="1:24" x14ac:dyDescent="0.25">
      <c r="A143" s="6"/>
      <c r="B143" s="6" t="str">
        <f t="shared" si="30"/>
        <v/>
      </c>
      <c r="C143" s="6" t="str">
        <f t="shared" si="31"/>
        <v/>
      </c>
      <c r="D143" s="6"/>
      <c r="E143" s="6"/>
      <c r="F143" s="6"/>
      <c r="G143" s="6"/>
      <c r="H143" s="6" t="str">
        <f t="shared" si="32"/>
        <v/>
      </c>
      <c r="I143" s="6" t="str">
        <f t="shared" ca="1" si="33"/>
        <v/>
      </c>
      <c r="J143" s="3" t="str">
        <f t="shared" si="34"/>
        <v/>
      </c>
      <c r="K143" s="6" t="str">
        <f>IF(A143="","",VLOOKUP(J143,[1]Initiated!$A:$Y,2,0))</f>
        <v/>
      </c>
      <c r="L143" s="2" t="str">
        <f>IF(A143="","",VLOOKUP(J143,[1]Initiated!$A:$Y,5,FALSE))</f>
        <v/>
      </c>
      <c r="M143" s="6" t="str">
        <f>IF(A143="","",VLOOKUP(J143,[1]Initiated!$A:$Y,6,FALSE))</f>
        <v/>
      </c>
      <c r="N143" s="6" t="str">
        <f>IF(A143="","",VLOOKUP(J143,[1]Initiated!$A:$Y,9,FALSE))</f>
        <v/>
      </c>
      <c r="O143" s="3" t="str">
        <f t="shared" si="35"/>
        <v/>
      </c>
      <c r="P143" s="6" t="str">
        <f>IF(OR(A143="", ISNUMBER(SEARCH("PFr", C143))), "", VLOOKUP(J143, [1]Initiated!$A:$Y, 7, FALSE))</f>
        <v/>
      </c>
      <c r="Q143" s="6" t="str">
        <f>IF(OR(A143="", ISNUMBER(SEARCH("PFr", C143))), "", VLOOKUP(J143, [1]Initiated!$A:$Y, 8, 0))</f>
        <v/>
      </c>
      <c r="R143" s="5" t="str">
        <f t="shared" si="36"/>
        <v/>
      </c>
      <c r="S143" s="4" t="str">
        <f>IF(A143="","",VLOOKUP(J143,[1]Initiated!$A:$Y,3,FALSE))</f>
        <v/>
      </c>
      <c r="T143" s="4" t="str">
        <f t="shared" ca="1" si="37"/>
        <v/>
      </c>
      <c r="U143" s="5" t="str">
        <f t="shared" si="38"/>
        <v/>
      </c>
      <c r="V143" s="5" t="str">
        <f t="shared" si="39"/>
        <v/>
      </c>
      <c r="W143" s="4" t="str">
        <f>IF(A143="","",VLOOKUP(J143,[1]Initiated!$A:$Y,10,0))</f>
        <v/>
      </c>
      <c r="X143" s="5" t="str">
        <f t="shared" si="40"/>
        <v/>
      </c>
    </row>
    <row r="144" spans="1:24" x14ac:dyDescent="0.25">
      <c r="A144" s="6"/>
      <c r="B144" s="6" t="str">
        <f t="shared" si="30"/>
        <v/>
      </c>
      <c r="C144" s="6" t="str">
        <f t="shared" si="31"/>
        <v/>
      </c>
      <c r="D144" s="6"/>
      <c r="E144" s="6"/>
      <c r="F144" s="6"/>
      <c r="G144" s="6"/>
      <c r="H144" s="6" t="str">
        <f t="shared" si="32"/>
        <v/>
      </c>
      <c r="I144" s="6" t="str">
        <f t="shared" ca="1" si="33"/>
        <v/>
      </c>
      <c r="J144" s="3" t="str">
        <f t="shared" si="34"/>
        <v/>
      </c>
      <c r="K144" s="6" t="str">
        <f>IF(A144="","",VLOOKUP(J144,[1]Initiated!$A:$Y,2,0))</f>
        <v/>
      </c>
      <c r="L144" s="2" t="str">
        <f>IF(A144="","",VLOOKUP(J144,[1]Initiated!$A:$Y,5,FALSE))</f>
        <v/>
      </c>
      <c r="M144" s="6" t="str">
        <f>IF(A144="","",VLOOKUP(J144,[1]Initiated!$A:$Y,6,FALSE))</f>
        <v/>
      </c>
      <c r="N144" s="6" t="str">
        <f>IF(A144="","",VLOOKUP(J144,[1]Initiated!$A:$Y,9,FALSE))</f>
        <v/>
      </c>
      <c r="O144" s="3" t="str">
        <f t="shared" si="35"/>
        <v/>
      </c>
      <c r="P144" s="6" t="str">
        <f>IF(OR(A144="", ISNUMBER(SEARCH("PFr", C144))), "", VLOOKUP(J144, [1]Initiated!$A:$Y, 7, FALSE))</f>
        <v/>
      </c>
      <c r="Q144" s="6" t="str">
        <f>IF(OR(A144="", ISNUMBER(SEARCH("PFr", C144))), "", VLOOKUP(J144, [1]Initiated!$A:$Y, 8, 0))</f>
        <v/>
      </c>
      <c r="R144" s="5" t="str">
        <f t="shared" si="36"/>
        <v/>
      </c>
      <c r="S144" s="4" t="str">
        <f>IF(A144="","",VLOOKUP(J144,[1]Initiated!$A:$Y,3,FALSE))</f>
        <v/>
      </c>
      <c r="T144" s="4" t="str">
        <f t="shared" ca="1" si="37"/>
        <v/>
      </c>
      <c r="U144" s="5" t="str">
        <f t="shared" si="38"/>
        <v/>
      </c>
      <c r="V144" s="5" t="str">
        <f t="shared" si="39"/>
        <v/>
      </c>
      <c r="W144" s="4" t="str">
        <f>IF(A144="","",VLOOKUP(J144,[1]Initiated!$A:$Y,10,0))</f>
        <v/>
      </c>
      <c r="X144" s="5" t="str">
        <f t="shared" si="40"/>
        <v/>
      </c>
    </row>
    <row r="145" spans="1:24" x14ac:dyDescent="0.25">
      <c r="A145" s="6"/>
      <c r="B145" s="6" t="str">
        <f t="shared" si="30"/>
        <v/>
      </c>
      <c r="C145" s="6" t="str">
        <f t="shared" si="31"/>
        <v/>
      </c>
      <c r="D145" s="6"/>
      <c r="E145" s="6"/>
      <c r="F145" s="6"/>
      <c r="G145" s="6"/>
      <c r="H145" s="6" t="str">
        <f t="shared" si="32"/>
        <v/>
      </c>
      <c r="I145" s="6" t="str">
        <f t="shared" ca="1" si="33"/>
        <v/>
      </c>
      <c r="J145" s="3" t="str">
        <f t="shared" si="34"/>
        <v/>
      </c>
      <c r="K145" s="6" t="str">
        <f>IF(A145="","",VLOOKUP(J145,[1]Initiated!$A:$Y,2,0))</f>
        <v/>
      </c>
      <c r="L145" s="2" t="str">
        <f>IF(A145="","",VLOOKUP(J145,[1]Initiated!$A:$Y,5,FALSE))</f>
        <v/>
      </c>
      <c r="M145" s="6" t="str">
        <f>IF(A145="","",VLOOKUP(J145,[1]Initiated!$A:$Y,6,FALSE))</f>
        <v/>
      </c>
      <c r="N145" s="6" t="str">
        <f>IF(A145="","",VLOOKUP(J145,[1]Initiated!$A:$Y,9,FALSE))</f>
        <v/>
      </c>
      <c r="O145" s="3" t="str">
        <f t="shared" si="35"/>
        <v/>
      </c>
      <c r="P145" s="6" t="str">
        <f>IF(OR(A145="", ISNUMBER(SEARCH("PFr", C145))), "", VLOOKUP(J145, [1]Initiated!$A:$Y, 7, FALSE))</f>
        <v/>
      </c>
      <c r="Q145" s="6" t="str">
        <f>IF(OR(A145="", ISNUMBER(SEARCH("PFr", C145))), "", VLOOKUP(J145, [1]Initiated!$A:$Y, 8, 0))</f>
        <v/>
      </c>
      <c r="R145" s="5" t="str">
        <f t="shared" si="36"/>
        <v/>
      </c>
      <c r="S145" s="4" t="str">
        <f>IF(A145="","",VLOOKUP(J145,[1]Initiated!$A:$Y,3,FALSE))</f>
        <v/>
      </c>
      <c r="T145" s="4" t="str">
        <f t="shared" ca="1" si="37"/>
        <v/>
      </c>
      <c r="U145" s="5" t="str">
        <f t="shared" si="38"/>
        <v/>
      </c>
      <c r="V145" s="5" t="str">
        <f t="shared" si="39"/>
        <v/>
      </c>
      <c r="W145" s="4" t="str">
        <f>IF(A145="","",VLOOKUP(J145,[1]Initiated!$A:$Y,10,0))</f>
        <v/>
      </c>
      <c r="X145" s="5" t="str">
        <f t="shared" si="40"/>
        <v/>
      </c>
    </row>
    <row r="146" spans="1:24" x14ac:dyDescent="0.25">
      <c r="A146" s="6"/>
      <c r="B146" s="6" t="str">
        <f t="shared" si="30"/>
        <v/>
      </c>
      <c r="C146" s="6" t="str">
        <f t="shared" si="31"/>
        <v/>
      </c>
      <c r="D146" s="6"/>
      <c r="E146" s="6"/>
      <c r="F146" s="6"/>
      <c r="G146" s="6"/>
      <c r="H146" s="6" t="str">
        <f t="shared" si="32"/>
        <v/>
      </c>
      <c r="I146" s="6" t="str">
        <f t="shared" ca="1" si="33"/>
        <v/>
      </c>
      <c r="J146" s="3" t="str">
        <f t="shared" si="34"/>
        <v/>
      </c>
      <c r="K146" s="6" t="str">
        <f>IF(A146="","",VLOOKUP(J146,[1]Initiated!$A:$Y,2,0))</f>
        <v/>
      </c>
      <c r="L146" s="2" t="str">
        <f>IF(A146="","",VLOOKUP(J146,[1]Initiated!$A:$Y,5,FALSE))</f>
        <v/>
      </c>
      <c r="M146" s="6" t="str">
        <f>IF(A146="","",VLOOKUP(J146,[1]Initiated!$A:$Y,6,FALSE))</f>
        <v/>
      </c>
      <c r="N146" s="6" t="str">
        <f>IF(A146="","",VLOOKUP(J146,[1]Initiated!$A:$Y,9,FALSE))</f>
        <v/>
      </c>
      <c r="O146" s="3" t="str">
        <f t="shared" si="35"/>
        <v/>
      </c>
      <c r="P146" s="6" t="str">
        <f>IF(OR(A146="", ISNUMBER(SEARCH("PFr", C146))), "", VLOOKUP(J146, [1]Initiated!$A:$Y, 7, FALSE))</f>
        <v/>
      </c>
      <c r="Q146" s="6" t="str">
        <f>IF(OR(A146="", ISNUMBER(SEARCH("PFr", C146))), "", VLOOKUP(J146, [1]Initiated!$A:$Y, 8, 0))</f>
        <v/>
      </c>
      <c r="R146" s="5" t="str">
        <f t="shared" si="36"/>
        <v/>
      </c>
      <c r="S146" s="4" t="str">
        <f>IF(A146="","",VLOOKUP(J146,[1]Initiated!$A:$Y,3,FALSE))</f>
        <v/>
      </c>
      <c r="T146" s="4" t="str">
        <f t="shared" ca="1" si="37"/>
        <v/>
      </c>
      <c r="U146" s="5" t="str">
        <f t="shared" si="38"/>
        <v/>
      </c>
      <c r="V146" s="5" t="str">
        <f t="shared" si="39"/>
        <v/>
      </c>
      <c r="W146" s="4" t="str">
        <f>IF(A146="","",VLOOKUP(J146,[1]Initiated!$A:$Y,10,0))</f>
        <v/>
      </c>
      <c r="X146" s="5" t="str">
        <f t="shared" si="40"/>
        <v/>
      </c>
    </row>
    <row r="147" spans="1:24" x14ac:dyDescent="0.25">
      <c r="A147" s="6"/>
      <c r="B147" s="6" t="str">
        <f t="shared" si="30"/>
        <v/>
      </c>
      <c r="C147" s="6" t="str">
        <f t="shared" si="31"/>
        <v/>
      </c>
      <c r="D147" s="6"/>
      <c r="E147" s="6"/>
      <c r="F147" s="6"/>
      <c r="G147" s="6"/>
      <c r="H147" s="6" t="str">
        <f t="shared" si="32"/>
        <v/>
      </c>
      <c r="I147" s="6" t="str">
        <f t="shared" ca="1" si="33"/>
        <v/>
      </c>
      <c r="J147" s="3" t="str">
        <f t="shared" si="34"/>
        <v/>
      </c>
      <c r="K147" s="6" t="str">
        <f>IF(A147="","",VLOOKUP(J147,[1]Initiated!$A:$Y,2,0))</f>
        <v/>
      </c>
      <c r="L147" s="2" t="str">
        <f>IF(A147="","",VLOOKUP(J147,[1]Initiated!$A:$Y,5,FALSE))</f>
        <v/>
      </c>
      <c r="M147" s="6" t="str">
        <f>IF(A147="","",VLOOKUP(J147,[1]Initiated!$A:$Y,6,FALSE))</f>
        <v/>
      </c>
      <c r="N147" s="6" t="str">
        <f>IF(A147="","",VLOOKUP(J147,[1]Initiated!$A:$Y,9,FALSE))</f>
        <v/>
      </c>
      <c r="O147" s="3" t="str">
        <f t="shared" si="35"/>
        <v/>
      </c>
      <c r="P147" s="6" t="str">
        <f>IF(OR(A147="", ISNUMBER(SEARCH("PFr", C147))), "", VLOOKUP(J147, [1]Initiated!$A:$Y, 7, FALSE))</f>
        <v/>
      </c>
      <c r="Q147" s="6" t="str">
        <f>IF(OR(A147="", ISNUMBER(SEARCH("PFr", C147))), "", VLOOKUP(J147, [1]Initiated!$A:$Y, 8, 0))</f>
        <v/>
      </c>
      <c r="R147" s="5" t="str">
        <f t="shared" si="36"/>
        <v/>
      </c>
      <c r="S147" s="4" t="str">
        <f>IF(A147="","",VLOOKUP(J147,[1]Initiated!$A:$Y,3,FALSE))</f>
        <v/>
      </c>
      <c r="T147" s="4" t="str">
        <f t="shared" ca="1" si="37"/>
        <v/>
      </c>
      <c r="U147" s="5" t="str">
        <f t="shared" si="38"/>
        <v/>
      </c>
      <c r="V147" s="5" t="str">
        <f t="shared" si="39"/>
        <v/>
      </c>
      <c r="W147" s="4" t="str">
        <f>IF(A147="","",VLOOKUP(J147,[1]Initiated!$A:$Y,10,0))</f>
        <v/>
      </c>
      <c r="X147" s="5" t="str">
        <f t="shared" si="40"/>
        <v/>
      </c>
    </row>
    <row r="148" spans="1:24" x14ac:dyDescent="0.25">
      <c r="A148" s="6"/>
      <c r="B148" s="6" t="str">
        <f t="shared" si="30"/>
        <v/>
      </c>
      <c r="C148" s="6" t="str">
        <f t="shared" si="31"/>
        <v/>
      </c>
      <c r="D148" s="6"/>
      <c r="E148" s="6"/>
      <c r="F148" s="6"/>
      <c r="G148" s="6"/>
      <c r="H148" s="6" t="str">
        <f t="shared" si="32"/>
        <v/>
      </c>
      <c r="I148" s="6" t="str">
        <f t="shared" ca="1" si="33"/>
        <v/>
      </c>
      <c r="J148" s="3" t="str">
        <f t="shared" si="34"/>
        <v/>
      </c>
      <c r="K148" s="6" t="str">
        <f>IF(A148="","",VLOOKUP(J148,[1]Initiated!$A:$Y,2,0))</f>
        <v/>
      </c>
      <c r="L148" s="2" t="str">
        <f>IF(A148="","",VLOOKUP(J148,[1]Initiated!$A:$Y,5,FALSE))</f>
        <v/>
      </c>
      <c r="M148" s="6" t="str">
        <f>IF(A148="","",VLOOKUP(J148,[1]Initiated!$A:$Y,6,FALSE))</f>
        <v/>
      </c>
      <c r="N148" s="6" t="str">
        <f>IF(A148="","",VLOOKUP(J148,[1]Initiated!$A:$Y,9,FALSE))</f>
        <v/>
      </c>
      <c r="O148" s="3" t="str">
        <f t="shared" si="35"/>
        <v/>
      </c>
      <c r="P148" s="6" t="str">
        <f>IF(OR(A148="", ISNUMBER(SEARCH("PFr", C148))), "", VLOOKUP(J148, [1]Initiated!$A:$Y, 7, FALSE))</f>
        <v/>
      </c>
      <c r="Q148" s="6" t="str">
        <f>IF(OR(A148="", ISNUMBER(SEARCH("PFr", C148))), "", VLOOKUP(J148, [1]Initiated!$A:$Y, 8, 0))</f>
        <v/>
      </c>
      <c r="R148" s="5" t="str">
        <f t="shared" si="36"/>
        <v/>
      </c>
      <c r="S148" s="4" t="str">
        <f>IF(A148="","",VLOOKUP(J148,[1]Initiated!$A:$Y,3,FALSE))</f>
        <v/>
      </c>
      <c r="T148" s="4" t="str">
        <f t="shared" ca="1" si="37"/>
        <v/>
      </c>
      <c r="U148" s="5" t="str">
        <f t="shared" si="38"/>
        <v/>
      </c>
      <c r="V148" s="5" t="str">
        <f t="shared" si="39"/>
        <v/>
      </c>
      <c r="W148" s="4" t="str">
        <f>IF(A148="","",VLOOKUP(J148,[1]Initiated!$A:$Y,10,0))</f>
        <v/>
      </c>
      <c r="X148" s="5" t="str">
        <f t="shared" si="40"/>
        <v/>
      </c>
    </row>
    <row r="149" spans="1:24" x14ac:dyDescent="0.25">
      <c r="A149" s="6"/>
      <c r="B149" s="6" t="str">
        <f t="shared" si="30"/>
        <v/>
      </c>
      <c r="C149" s="6" t="str">
        <f t="shared" si="31"/>
        <v/>
      </c>
      <c r="D149" s="6"/>
      <c r="E149" s="6"/>
      <c r="F149" s="6"/>
      <c r="G149" s="6"/>
      <c r="H149" s="6" t="str">
        <f t="shared" si="32"/>
        <v/>
      </c>
      <c r="I149" s="6" t="str">
        <f t="shared" ca="1" si="33"/>
        <v/>
      </c>
      <c r="J149" s="3" t="str">
        <f t="shared" si="34"/>
        <v/>
      </c>
      <c r="K149" s="6" t="str">
        <f>IF(A149="","",VLOOKUP(J149,[1]Initiated!$A:$Y,2,0))</f>
        <v/>
      </c>
      <c r="L149" s="2" t="str">
        <f>IF(A149="","",VLOOKUP(J149,[1]Initiated!$A:$Y,5,FALSE))</f>
        <v/>
      </c>
      <c r="M149" s="6" t="str">
        <f>IF(A149="","",VLOOKUP(J149,[1]Initiated!$A:$Y,6,FALSE))</f>
        <v/>
      </c>
      <c r="N149" s="6" t="str">
        <f>IF(A149="","",VLOOKUP(J149,[1]Initiated!$A:$Y,9,FALSE))</f>
        <v/>
      </c>
      <c r="O149" s="3" t="str">
        <f t="shared" si="35"/>
        <v/>
      </c>
      <c r="P149" s="6" t="str">
        <f>IF(OR(A149="", ISNUMBER(SEARCH("PFr", C149))), "", VLOOKUP(J149, [1]Initiated!$A:$Y, 7, FALSE))</f>
        <v/>
      </c>
      <c r="Q149" s="6" t="str">
        <f>IF(OR(A149="", ISNUMBER(SEARCH("PFr", C149))), "", VLOOKUP(J149, [1]Initiated!$A:$Y, 8, 0))</f>
        <v/>
      </c>
      <c r="R149" s="5" t="str">
        <f t="shared" si="36"/>
        <v/>
      </c>
      <c r="S149" s="4" t="str">
        <f>IF(A149="","",VLOOKUP(J149,[1]Initiated!$A:$Y,3,FALSE))</f>
        <v/>
      </c>
      <c r="T149" s="4" t="str">
        <f t="shared" ca="1" si="37"/>
        <v/>
      </c>
      <c r="U149" s="5" t="str">
        <f t="shared" si="38"/>
        <v/>
      </c>
      <c r="V149" s="5" t="str">
        <f t="shared" si="39"/>
        <v/>
      </c>
      <c r="W149" s="4" t="str">
        <f>IF(A149="","",VLOOKUP(J149,[1]Initiated!$A:$Y,10,0))</f>
        <v/>
      </c>
      <c r="X149" s="5" t="str">
        <f t="shared" si="40"/>
        <v/>
      </c>
    </row>
    <row r="150" spans="1:24" x14ac:dyDescent="0.25">
      <c r="A150" s="6"/>
      <c r="B150" s="6" t="str">
        <f t="shared" si="30"/>
        <v/>
      </c>
      <c r="C150" s="6" t="str">
        <f t="shared" si="31"/>
        <v/>
      </c>
      <c r="D150" s="6"/>
      <c r="E150" s="6"/>
      <c r="F150" s="6"/>
      <c r="G150" s="6"/>
      <c r="H150" s="6" t="str">
        <f t="shared" si="32"/>
        <v/>
      </c>
      <c r="I150" s="6" t="str">
        <f t="shared" ca="1" si="33"/>
        <v/>
      </c>
      <c r="J150" s="3" t="str">
        <f t="shared" si="34"/>
        <v/>
      </c>
      <c r="K150" s="6" t="str">
        <f>IF(A150="","",VLOOKUP(J150,[1]Initiated!$A:$Y,2,0))</f>
        <v/>
      </c>
      <c r="L150" s="2" t="str">
        <f>IF(A150="","",VLOOKUP(J150,[1]Initiated!$A:$Y,5,FALSE))</f>
        <v/>
      </c>
      <c r="M150" s="6" t="str">
        <f>IF(A150="","",VLOOKUP(J150,[1]Initiated!$A:$Y,6,FALSE))</f>
        <v/>
      </c>
      <c r="N150" s="6" t="str">
        <f>IF(A150="","",VLOOKUP(J150,[1]Initiated!$A:$Y,9,FALSE))</f>
        <v/>
      </c>
      <c r="O150" s="3" t="str">
        <f t="shared" si="35"/>
        <v/>
      </c>
      <c r="P150" s="6" t="str">
        <f>IF(OR(A150="", ISNUMBER(SEARCH("PFr", C150))), "", VLOOKUP(J150, [1]Initiated!$A:$Y, 7, FALSE))</f>
        <v/>
      </c>
      <c r="Q150" s="6" t="str">
        <f>IF(OR(A150="", ISNUMBER(SEARCH("PFr", C150))), "", VLOOKUP(J150, [1]Initiated!$A:$Y, 8, 0))</f>
        <v/>
      </c>
      <c r="R150" s="5" t="str">
        <f t="shared" si="36"/>
        <v/>
      </c>
      <c r="S150" s="4" t="str">
        <f>IF(A150="","",VLOOKUP(J150,[1]Initiated!$A:$Y,3,FALSE))</f>
        <v/>
      </c>
      <c r="T150" s="4" t="str">
        <f t="shared" ca="1" si="37"/>
        <v/>
      </c>
      <c r="U150" s="5" t="str">
        <f t="shared" si="38"/>
        <v/>
      </c>
      <c r="V150" s="5" t="str">
        <f t="shared" si="39"/>
        <v/>
      </c>
      <c r="W150" s="4" t="str">
        <f>IF(A150="","",VLOOKUP(J150,[1]Initiated!$A:$Y,10,0))</f>
        <v/>
      </c>
      <c r="X150" s="5" t="str">
        <f t="shared" si="40"/>
        <v/>
      </c>
    </row>
    <row r="151" spans="1:24" x14ac:dyDescent="0.25">
      <c r="A151" s="6"/>
      <c r="B151" s="6" t="str">
        <f t="shared" si="30"/>
        <v/>
      </c>
      <c r="C151" s="6" t="str">
        <f t="shared" si="31"/>
        <v/>
      </c>
      <c r="D151" s="6"/>
      <c r="E151" s="6"/>
      <c r="F151" s="6"/>
      <c r="G151" s="6"/>
      <c r="H151" s="6" t="str">
        <f t="shared" si="32"/>
        <v/>
      </c>
      <c r="I151" s="6" t="str">
        <f t="shared" ca="1" si="33"/>
        <v/>
      </c>
      <c r="J151" s="3" t="str">
        <f t="shared" si="34"/>
        <v/>
      </c>
      <c r="K151" s="6" t="str">
        <f>IF(A151="","",VLOOKUP(J151,[1]Initiated!$A:$Y,2,0))</f>
        <v/>
      </c>
      <c r="L151" s="2" t="str">
        <f>IF(A151="","",VLOOKUP(J151,[1]Initiated!$A:$Y,5,FALSE))</f>
        <v/>
      </c>
      <c r="M151" s="6" t="str">
        <f>IF(A151="","",VLOOKUP(J151,[1]Initiated!$A:$Y,6,FALSE))</f>
        <v/>
      </c>
      <c r="N151" s="6" t="str">
        <f>IF(A151="","",VLOOKUP(J151,[1]Initiated!$A:$Y,9,FALSE))</f>
        <v/>
      </c>
      <c r="O151" s="3" t="str">
        <f t="shared" si="35"/>
        <v/>
      </c>
      <c r="P151" s="6" t="str">
        <f>IF(OR(A151="", ISNUMBER(SEARCH("PFr", C151))), "", VLOOKUP(J151, [1]Initiated!$A:$Y, 7, FALSE))</f>
        <v/>
      </c>
      <c r="Q151" s="6" t="str">
        <f>IF(OR(A151="", ISNUMBER(SEARCH("PFr", C151))), "", VLOOKUP(J151, [1]Initiated!$A:$Y, 8, 0))</f>
        <v/>
      </c>
      <c r="R151" s="5" t="str">
        <f t="shared" si="36"/>
        <v/>
      </c>
      <c r="S151" s="4" t="str">
        <f>IF(A151="","",VLOOKUP(J151,[1]Initiated!$A:$Y,3,FALSE))</f>
        <v/>
      </c>
      <c r="T151" s="4" t="str">
        <f t="shared" ca="1" si="37"/>
        <v/>
      </c>
      <c r="U151" s="5" t="str">
        <f t="shared" si="38"/>
        <v/>
      </c>
      <c r="V151" s="5" t="str">
        <f t="shared" si="39"/>
        <v/>
      </c>
      <c r="W151" s="4" t="str">
        <f>IF(A151="","",VLOOKUP(J151,[1]Initiated!$A:$Y,10,0))</f>
        <v/>
      </c>
      <c r="X151" s="5" t="str">
        <f t="shared" si="40"/>
        <v/>
      </c>
    </row>
    <row r="152" spans="1:24" x14ac:dyDescent="0.25">
      <c r="A152" s="6"/>
      <c r="B152" s="6" t="str">
        <f t="shared" si="30"/>
        <v/>
      </c>
      <c r="C152" s="6" t="str">
        <f t="shared" si="31"/>
        <v/>
      </c>
      <c r="D152" s="6"/>
      <c r="E152" s="6"/>
      <c r="F152" s="6"/>
      <c r="G152" s="6"/>
      <c r="H152" s="6" t="str">
        <f t="shared" si="32"/>
        <v/>
      </c>
      <c r="I152" s="6" t="str">
        <f t="shared" ca="1" si="33"/>
        <v/>
      </c>
      <c r="J152" s="3" t="str">
        <f t="shared" si="34"/>
        <v/>
      </c>
      <c r="K152" s="6" t="str">
        <f>IF(A152="","",VLOOKUP(J152,[1]Initiated!$A:$Y,2,0))</f>
        <v/>
      </c>
      <c r="L152" s="2" t="str">
        <f>IF(A152="","",VLOOKUP(J152,[1]Initiated!$A:$Y,5,FALSE))</f>
        <v/>
      </c>
      <c r="M152" s="6" t="str">
        <f>IF(A152="","",VLOOKUP(J152,[1]Initiated!$A:$Y,6,FALSE))</f>
        <v/>
      </c>
      <c r="N152" s="6" t="str">
        <f>IF(A152="","",VLOOKUP(J152,[1]Initiated!$A:$Y,9,FALSE))</f>
        <v/>
      </c>
      <c r="O152" s="3" t="str">
        <f t="shared" si="35"/>
        <v/>
      </c>
      <c r="P152" s="6" t="str">
        <f>IF(OR(A152="", ISNUMBER(SEARCH("PFr", C152))), "", VLOOKUP(J152, [1]Initiated!$A:$Y, 7, FALSE))</f>
        <v/>
      </c>
      <c r="Q152" s="6" t="str">
        <f>IF(OR(A152="", ISNUMBER(SEARCH("PFr", C152))), "", VLOOKUP(J152, [1]Initiated!$A:$Y, 8, 0))</f>
        <v/>
      </c>
      <c r="R152" s="5" t="str">
        <f t="shared" si="36"/>
        <v/>
      </c>
      <c r="S152" s="4" t="str">
        <f>IF(A152="","",VLOOKUP(J152,[1]Initiated!$A:$Y,3,FALSE))</f>
        <v/>
      </c>
      <c r="T152" s="4" t="str">
        <f t="shared" ca="1" si="37"/>
        <v/>
      </c>
      <c r="U152" s="5" t="str">
        <f t="shared" si="38"/>
        <v/>
      </c>
      <c r="V152" s="5" t="str">
        <f t="shared" si="39"/>
        <v/>
      </c>
      <c r="W152" s="4" t="str">
        <f>IF(A152="","",VLOOKUP(J152,[1]Initiated!$A:$Y,10,0))</f>
        <v/>
      </c>
      <c r="X152" s="5" t="str">
        <f t="shared" si="40"/>
        <v/>
      </c>
    </row>
    <row r="153" spans="1:24" x14ac:dyDescent="0.25">
      <c r="A153" s="6"/>
      <c r="B153" s="6" t="str">
        <f t="shared" si="30"/>
        <v/>
      </c>
      <c r="C153" s="6" t="str">
        <f t="shared" si="31"/>
        <v/>
      </c>
      <c r="D153" s="6"/>
      <c r="E153" s="6"/>
      <c r="F153" s="6"/>
      <c r="G153" s="6"/>
      <c r="H153" s="6" t="str">
        <f t="shared" si="32"/>
        <v/>
      </c>
      <c r="I153" s="6" t="str">
        <f t="shared" ca="1" si="33"/>
        <v/>
      </c>
      <c r="J153" s="3" t="str">
        <f t="shared" si="34"/>
        <v/>
      </c>
      <c r="K153" s="6" t="str">
        <f>IF(A153="","",VLOOKUP(J153,[1]Initiated!$A:$Y,2,0))</f>
        <v/>
      </c>
      <c r="L153" s="2" t="str">
        <f>IF(A153="","",VLOOKUP(J153,[1]Initiated!$A:$Y,5,FALSE))</f>
        <v/>
      </c>
      <c r="M153" s="6" t="str">
        <f>IF(A153="","",VLOOKUP(J153,[1]Initiated!$A:$Y,6,FALSE))</f>
        <v/>
      </c>
      <c r="N153" s="6" t="str">
        <f>IF(A153="","",VLOOKUP(J153,[1]Initiated!$A:$Y,9,FALSE))</f>
        <v/>
      </c>
      <c r="O153" s="3" t="str">
        <f t="shared" si="35"/>
        <v/>
      </c>
      <c r="P153" s="6" t="str">
        <f>IF(OR(A153="", ISNUMBER(SEARCH("PFr", C153))), "", VLOOKUP(J153, [1]Initiated!$A:$Y, 7, FALSE))</f>
        <v/>
      </c>
      <c r="Q153" s="6" t="str">
        <f>IF(OR(A153="", ISNUMBER(SEARCH("PFr", C153))), "", VLOOKUP(J153, [1]Initiated!$A:$Y, 8, 0))</f>
        <v/>
      </c>
      <c r="R153" s="5" t="str">
        <f t="shared" si="36"/>
        <v/>
      </c>
      <c r="S153" s="4" t="str">
        <f>IF(A153="","",VLOOKUP(J153,[1]Initiated!$A:$Y,3,FALSE))</f>
        <v/>
      </c>
      <c r="T153" s="4" t="str">
        <f t="shared" ca="1" si="37"/>
        <v/>
      </c>
      <c r="U153" s="5" t="str">
        <f t="shared" si="38"/>
        <v/>
      </c>
      <c r="V153" s="5" t="str">
        <f t="shared" si="39"/>
        <v/>
      </c>
      <c r="W153" s="4" t="str">
        <f>IF(A153="","",VLOOKUP(J153,[1]Initiated!$A:$Y,10,0))</f>
        <v/>
      </c>
      <c r="X153" s="5" t="str">
        <f t="shared" si="40"/>
        <v/>
      </c>
    </row>
    <row r="154" spans="1:24" x14ac:dyDescent="0.25">
      <c r="A154" s="6"/>
      <c r="B154" s="6" t="str">
        <f t="shared" si="30"/>
        <v/>
      </c>
      <c r="C154" s="6" t="str">
        <f t="shared" si="31"/>
        <v/>
      </c>
      <c r="D154" s="6"/>
      <c r="E154" s="6"/>
      <c r="F154" s="6"/>
      <c r="G154" s="6"/>
      <c r="H154" s="6" t="str">
        <f t="shared" si="32"/>
        <v/>
      </c>
      <c r="I154" s="6" t="str">
        <f t="shared" ca="1" si="33"/>
        <v/>
      </c>
      <c r="J154" s="3" t="str">
        <f t="shared" si="34"/>
        <v/>
      </c>
      <c r="K154" s="6" t="str">
        <f>IF(A154="","",VLOOKUP(J154,[1]Initiated!$A:$Y,2,0))</f>
        <v/>
      </c>
      <c r="L154" s="2" t="str">
        <f>IF(A154="","",VLOOKUP(J154,[1]Initiated!$A:$Y,5,FALSE))</f>
        <v/>
      </c>
      <c r="M154" s="6" t="str">
        <f>IF(A154="","",VLOOKUP(J154,[1]Initiated!$A:$Y,6,FALSE))</f>
        <v/>
      </c>
      <c r="N154" s="6" t="str">
        <f>IF(A154="","",VLOOKUP(J154,[1]Initiated!$A:$Y,9,FALSE))</f>
        <v/>
      </c>
      <c r="O154" s="3" t="str">
        <f t="shared" si="35"/>
        <v/>
      </c>
      <c r="P154" s="6" t="str">
        <f>IF(OR(A154="", ISNUMBER(SEARCH("PFr", C154))), "", VLOOKUP(J154, [1]Initiated!$A:$Y, 7, FALSE))</f>
        <v/>
      </c>
      <c r="Q154" s="6" t="str">
        <f>IF(OR(A154="", ISNUMBER(SEARCH("PFr", C154))), "", VLOOKUP(J154, [1]Initiated!$A:$Y, 8, 0))</f>
        <v/>
      </c>
      <c r="R154" s="5" t="str">
        <f t="shared" si="36"/>
        <v/>
      </c>
      <c r="S154" s="4" t="str">
        <f>IF(A154="","",VLOOKUP(J154,[1]Initiated!$A:$Y,3,FALSE))</f>
        <v/>
      </c>
      <c r="T154" s="4" t="str">
        <f t="shared" ca="1" si="37"/>
        <v/>
      </c>
      <c r="U154" s="5" t="str">
        <f t="shared" si="38"/>
        <v/>
      </c>
      <c r="V154" s="5" t="str">
        <f t="shared" si="39"/>
        <v/>
      </c>
      <c r="W154" s="4" t="str">
        <f>IF(A154="","",VLOOKUP(J154,[1]Initiated!$A:$Y,10,0))</f>
        <v/>
      </c>
      <c r="X154" s="5" t="str">
        <f t="shared" si="40"/>
        <v/>
      </c>
    </row>
    <row r="155" spans="1:24" x14ac:dyDescent="0.25">
      <c r="A155" s="6"/>
      <c r="B155" s="6" t="str">
        <f t="shared" si="30"/>
        <v/>
      </c>
      <c r="C155" s="6" t="str">
        <f t="shared" si="31"/>
        <v/>
      </c>
      <c r="D155" s="6"/>
      <c r="E155" s="6"/>
      <c r="F155" s="6"/>
      <c r="G155" s="6"/>
      <c r="H155" s="6" t="str">
        <f t="shared" si="32"/>
        <v/>
      </c>
      <c r="I155" s="6" t="str">
        <f t="shared" ca="1" si="33"/>
        <v/>
      </c>
      <c r="J155" s="3" t="str">
        <f t="shared" si="34"/>
        <v/>
      </c>
      <c r="K155" s="6" t="str">
        <f>IF(A155="","",VLOOKUP(J155,[1]Initiated!$A:$Y,2,0))</f>
        <v/>
      </c>
      <c r="L155" s="2" t="str">
        <f>IF(A155="","",VLOOKUP(J155,[1]Initiated!$A:$Y,5,FALSE))</f>
        <v/>
      </c>
      <c r="M155" s="6" t="str">
        <f>IF(A155="","",VLOOKUP(J155,[1]Initiated!$A:$Y,6,FALSE))</f>
        <v/>
      </c>
      <c r="N155" s="6" t="str">
        <f>IF(A155="","",VLOOKUP(J155,[1]Initiated!$A:$Y,9,FALSE))</f>
        <v/>
      </c>
      <c r="O155" s="3" t="str">
        <f t="shared" si="35"/>
        <v/>
      </c>
      <c r="P155" s="6" t="str">
        <f>IF(OR(A155="", ISNUMBER(SEARCH("PFr", C155))), "", VLOOKUP(J155, [1]Initiated!$A:$Y, 7, FALSE))</f>
        <v/>
      </c>
      <c r="Q155" s="6" t="str">
        <f>IF(OR(A155="", ISNUMBER(SEARCH("PFr", C155))), "", VLOOKUP(J155, [1]Initiated!$A:$Y, 8, 0))</f>
        <v/>
      </c>
      <c r="R155" s="5" t="str">
        <f t="shared" si="36"/>
        <v/>
      </c>
      <c r="S155" s="4" t="str">
        <f>IF(A155="","",VLOOKUP(J155,[1]Initiated!$A:$Y,3,FALSE))</f>
        <v/>
      </c>
      <c r="T155" s="4" t="str">
        <f t="shared" ca="1" si="37"/>
        <v/>
      </c>
      <c r="U155" s="5" t="str">
        <f t="shared" si="38"/>
        <v/>
      </c>
      <c r="V155" s="5" t="str">
        <f t="shared" si="39"/>
        <v/>
      </c>
      <c r="W155" s="4" t="str">
        <f>IF(A155="","",VLOOKUP(J155,[1]Initiated!$A:$Y,10,0))</f>
        <v/>
      </c>
      <c r="X155" s="5" t="str">
        <f t="shared" si="40"/>
        <v/>
      </c>
    </row>
    <row r="156" spans="1:24" x14ac:dyDescent="0.25">
      <c r="A156" s="6"/>
      <c r="B156" s="6" t="str">
        <f t="shared" si="30"/>
        <v/>
      </c>
      <c r="C156" s="6" t="str">
        <f t="shared" si="31"/>
        <v/>
      </c>
      <c r="D156" s="6"/>
      <c r="E156" s="6"/>
      <c r="F156" s="6"/>
      <c r="G156" s="6"/>
      <c r="H156" s="6" t="str">
        <f t="shared" si="32"/>
        <v/>
      </c>
      <c r="I156" s="6" t="str">
        <f t="shared" ca="1" si="33"/>
        <v/>
      </c>
      <c r="J156" s="3" t="str">
        <f t="shared" si="34"/>
        <v/>
      </c>
      <c r="K156" s="6" t="str">
        <f>IF(A156="","",VLOOKUP(J156,[1]Initiated!$A:$Y,2,0))</f>
        <v/>
      </c>
      <c r="L156" s="2" t="str">
        <f>IF(A156="","",VLOOKUP(J156,[1]Initiated!$A:$Y,5,FALSE))</f>
        <v/>
      </c>
      <c r="M156" s="6" t="str">
        <f>IF(A156="","",VLOOKUP(J156,[1]Initiated!$A:$Y,6,FALSE))</f>
        <v/>
      </c>
      <c r="N156" s="6" t="str">
        <f>IF(A156="","",VLOOKUP(J156,[1]Initiated!$A:$Y,9,FALSE))</f>
        <v/>
      </c>
      <c r="O156" s="3" t="str">
        <f t="shared" si="35"/>
        <v/>
      </c>
      <c r="P156" s="6" t="str">
        <f>IF(OR(A156="", ISNUMBER(SEARCH("PFr", C156))), "", VLOOKUP(J156, [1]Initiated!$A:$Y, 7, FALSE))</f>
        <v/>
      </c>
      <c r="Q156" s="6" t="str">
        <f>IF(OR(A156="", ISNUMBER(SEARCH("PFr", C156))), "", VLOOKUP(J156, [1]Initiated!$A:$Y, 8, 0))</f>
        <v/>
      </c>
      <c r="R156" s="5" t="str">
        <f t="shared" si="36"/>
        <v/>
      </c>
      <c r="S156" s="4" t="str">
        <f>IF(A156="","",VLOOKUP(J156,[1]Initiated!$A:$Y,3,FALSE))</f>
        <v/>
      </c>
      <c r="T156" s="4" t="str">
        <f t="shared" ca="1" si="37"/>
        <v/>
      </c>
      <c r="U156" s="5" t="str">
        <f t="shared" si="38"/>
        <v/>
      </c>
      <c r="V156" s="5" t="str">
        <f t="shared" si="39"/>
        <v/>
      </c>
      <c r="W156" s="4" t="str">
        <f>IF(A156="","",VLOOKUP(J156,[1]Initiated!$A:$Y,10,0))</f>
        <v/>
      </c>
      <c r="X156" s="5" t="str">
        <f t="shared" si="40"/>
        <v/>
      </c>
    </row>
    <row r="157" spans="1:24" x14ac:dyDescent="0.25">
      <c r="A157" s="6"/>
      <c r="B157" s="6" t="str">
        <f t="shared" si="30"/>
        <v/>
      </c>
      <c r="C157" s="6" t="str">
        <f t="shared" si="31"/>
        <v/>
      </c>
      <c r="D157" s="6"/>
      <c r="E157" s="6"/>
      <c r="F157" s="6"/>
      <c r="G157" s="6"/>
      <c r="H157" s="6" t="str">
        <f t="shared" si="32"/>
        <v/>
      </c>
      <c r="I157" s="6" t="str">
        <f t="shared" ca="1" si="33"/>
        <v/>
      </c>
      <c r="J157" s="3" t="str">
        <f t="shared" si="34"/>
        <v/>
      </c>
      <c r="K157" s="6" t="str">
        <f>IF(A157="","",VLOOKUP(J157,[1]Initiated!$A:$Y,2,0))</f>
        <v/>
      </c>
      <c r="L157" s="2" t="str">
        <f>IF(A157="","",VLOOKUP(J157,[1]Initiated!$A:$Y,5,FALSE))</f>
        <v/>
      </c>
      <c r="M157" s="6" t="str">
        <f>IF(A157="","",VLOOKUP(J157,[1]Initiated!$A:$Y,6,FALSE))</f>
        <v/>
      </c>
      <c r="N157" s="6" t="str">
        <f>IF(A157="","",VLOOKUP(J157,[1]Initiated!$A:$Y,9,FALSE))</f>
        <v/>
      </c>
      <c r="O157" s="3" t="str">
        <f t="shared" si="35"/>
        <v/>
      </c>
      <c r="P157" s="6" t="str">
        <f>IF(OR(A157="", ISNUMBER(SEARCH("PFr", C157))), "", VLOOKUP(J157, [1]Initiated!$A:$Y, 7, FALSE))</f>
        <v/>
      </c>
      <c r="Q157" s="6" t="str">
        <f>IF(OR(A157="", ISNUMBER(SEARCH("PFr", C157))), "", VLOOKUP(J157, [1]Initiated!$A:$Y, 8, 0))</f>
        <v/>
      </c>
      <c r="R157" s="5" t="str">
        <f t="shared" si="36"/>
        <v/>
      </c>
      <c r="S157" s="4" t="str">
        <f>IF(A157="","",VLOOKUP(J157,[1]Initiated!$A:$Y,3,FALSE))</f>
        <v/>
      </c>
      <c r="T157" s="4" t="str">
        <f t="shared" ca="1" si="37"/>
        <v/>
      </c>
      <c r="U157" s="5" t="str">
        <f t="shared" si="38"/>
        <v/>
      </c>
      <c r="V157" s="5" t="str">
        <f t="shared" si="39"/>
        <v/>
      </c>
      <c r="W157" s="4" t="str">
        <f>IF(A157="","",VLOOKUP(J157,[1]Initiated!$A:$Y,10,0))</f>
        <v/>
      </c>
      <c r="X157" s="5" t="str">
        <f t="shared" si="40"/>
        <v/>
      </c>
    </row>
    <row r="158" spans="1:24" x14ac:dyDescent="0.25">
      <c r="A158" s="6"/>
      <c r="B158" s="6" t="str">
        <f t="shared" si="30"/>
        <v/>
      </c>
      <c r="C158" s="6" t="str">
        <f t="shared" si="31"/>
        <v/>
      </c>
      <c r="D158" s="6"/>
      <c r="E158" s="6"/>
      <c r="F158" s="6"/>
      <c r="G158" s="6"/>
      <c r="H158" s="6" t="str">
        <f t="shared" si="32"/>
        <v/>
      </c>
      <c r="I158" s="6" t="str">
        <f t="shared" ca="1" si="33"/>
        <v/>
      </c>
      <c r="J158" s="3" t="str">
        <f t="shared" si="34"/>
        <v/>
      </c>
      <c r="K158" s="6" t="str">
        <f>IF(A158="","",VLOOKUP(J158,[1]Initiated!$A:$Y,2,0))</f>
        <v/>
      </c>
      <c r="L158" s="2" t="str">
        <f>IF(A158="","",VLOOKUP(J158,[1]Initiated!$A:$Y,5,FALSE))</f>
        <v/>
      </c>
      <c r="M158" s="6" t="str">
        <f>IF(A158="","",VLOOKUP(J158,[1]Initiated!$A:$Y,6,FALSE))</f>
        <v/>
      </c>
      <c r="N158" s="6" t="str">
        <f>IF(A158="","",VLOOKUP(J158,[1]Initiated!$A:$Y,9,FALSE))</f>
        <v/>
      </c>
      <c r="O158" s="3" t="str">
        <f t="shared" si="35"/>
        <v/>
      </c>
      <c r="P158" s="6" t="str">
        <f>IF(OR(A158="", ISNUMBER(SEARCH("PFr", C158))), "", VLOOKUP(J158, [1]Initiated!$A:$Y, 7, FALSE))</f>
        <v/>
      </c>
      <c r="Q158" s="6" t="str">
        <f>IF(OR(A158="", ISNUMBER(SEARCH("PFr", C158))), "", VLOOKUP(J158, [1]Initiated!$A:$Y, 8, 0))</f>
        <v/>
      </c>
      <c r="R158" s="5" t="str">
        <f t="shared" si="36"/>
        <v/>
      </c>
      <c r="S158" s="4" t="str">
        <f>IF(A158="","",VLOOKUP(J158,[1]Initiated!$A:$Y,3,FALSE))</f>
        <v/>
      </c>
      <c r="T158" s="4" t="str">
        <f t="shared" ca="1" si="37"/>
        <v/>
      </c>
      <c r="U158" s="5" t="str">
        <f t="shared" si="38"/>
        <v/>
      </c>
      <c r="V158" s="5" t="str">
        <f t="shared" si="39"/>
        <v/>
      </c>
      <c r="W158" s="4" t="str">
        <f>IF(A158="","",VLOOKUP(J158,[1]Initiated!$A:$Y,10,0))</f>
        <v/>
      </c>
      <c r="X158" s="5" t="str">
        <f t="shared" si="40"/>
        <v/>
      </c>
    </row>
    <row r="159" spans="1:24" x14ac:dyDescent="0.25">
      <c r="A159" s="6"/>
      <c r="B159" s="6" t="str">
        <f t="shared" si="30"/>
        <v/>
      </c>
      <c r="C159" s="6" t="str">
        <f t="shared" si="31"/>
        <v/>
      </c>
      <c r="D159" s="6"/>
      <c r="E159" s="6"/>
      <c r="F159" s="6"/>
      <c r="G159" s="6"/>
      <c r="H159" s="6" t="str">
        <f t="shared" si="32"/>
        <v/>
      </c>
      <c r="I159" s="6" t="str">
        <f t="shared" ca="1" si="33"/>
        <v/>
      </c>
      <c r="J159" s="3" t="str">
        <f t="shared" si="34"/>
        <v/>
      </c>
      <c r="K159" s="6" t="str">
        <f>IF(A159="","",VLOOKUP(J159,[1]Initiated!$A:$Y,2,0))</f>
        <v/>
      </c>
      <c r="L159" s="2" t="str">
        <f>IF(A159="","",VLOOKUP(J159,[1]Initiated!$A:$Y,5,FALSE))</f>
        <v/>
      </c>
      <c r="M159" s="6" t="str">
        <f>IF(A159="","",VLOOKUP(J159,[1]Initiated!$A:$Y,6,FALSE))</f>
        <v/>
      </c>
      <c r="N159" s="6" t="str">
        <f>IF(A159="","",VLOOKUP(J159,[1]Initiated!$A:$Y,9,FALSE))</f>
        <v/>
      </c>
      <c r="O159" s="3" t="str">
        <f t="shared" si="35"/>
        <v/>
      </c>
      <c r="P159" s="6" t="str">
        <f>IF(OR(A159="", ISNUMBER(SEARCH("PFr", C159))), "", VLOOKUP(J159, [1]Initiated!$A:$Y, 7, FALSE))</f>
        <v/>
      </c>
      <c r="Q159" s="6" t="str">
        <f>IF(OR(A159="", ISNUMBER(SEARCH("PFr", C159))), "", VLOOKUP(J159, [1]Initiated!$A:$Y, 8, 0))</f>
        <v/>
      </c>
      <c r="R159" s="5" t="str">
        <f t="shared" si="36"/>
        <v/>
      </c>
      <c r="S159" s="4" t="str">
        <f>IF(A159="","",VLOOKUP(J159,[1]Initiated!$A:$Y,3,FALSE))</f>
        <v/>
      </c>
      <c r="T159" s="4" t="str">
        <f t="shared" ca="1" si="37"/>
        <v/>
      </c>
      <c r="U159" s="5" t="str">
        <f t="shared" si="38"/>
        <v/>
      </c>
      <c r="V159" s="5" t="str">
        <f t="shared" si="39"/>
        <v/>
      </c>
      <c r="W159" s="4" t="str">
        <f>IF(A159="","",VLOOKUP(J159,[1]Initiated!$A:$Y,10,0))</f>
        <v/>
      </c>
      <c r="X159" s="5" t="str">
        <f t="shared" si="40"/>
        <v/>
      </c>
    </row>
    <row r="160" spans="1:24" x14ac:dyDescent="0.25">
      <c r="A160" s="6"/>
      <c r="B160" s="6" t="str">
        <f t="shared" si="30"/>
        <v/>
      </c>
      <c r="C160" s="6" t="str">
        <f t="shared" si="31"/>
        <v/>
      </c>
      <c r="D160" s="6"/>
      <c r="E160" s="6"/>
      <c r="F160" s="6"/>
      <c r="G160" s="6"/>
      <c r="H160" s="6" t="str">
        <f t="shared" si="32"/>
        <v/>
      </c>
      <c r="I160" s="6" t="str">
        <f t="shared" ca="1" si="33"/>
        <v/>
      </c>
      <c r="J160" s="3" t="str">
        <f t="shared" si="34"/>
        <v/>
      </c>
      <c r="K160" s="6" t="str">
        <f>IF(A160="","",VLOOKUP(J160,[1]Initiated!$A:$Y,2,0))</f>
        <v/>
      </c>
      <c r="L160" s="2" t="str">
        <f>IF(A160="","",VLOOKUP(J160,[1]Initiated!$A:$Y,5,FALSE))</f>
        <v/>
      </c>
      <c r="M160" s="6" t="str">
        <f>IF(A160="","",VLOOKUP(J160,[1]Initiated!$A:$Y,6,FALSE))</f>
        <v/>
      </c>
      <c r="N160" s="6" t="str">
        <f>IF(A160="","",VLOOKUP(J160,[1]Initiated!$A:$Y,9,FALSE))</f>
        <v/>
      </c>
      <c r="O160" s="3" t="str">
        <f t="shared" si="35"/>
        <v/>
      </c>
      <c r="P160" s="6" t="str">
        <f>IF(OR(A160="", ISNUMBER(SEARCH("PFr", C160))), "", VLOOKUP(J160, [1]Initiated!$A:$Y, 7, FALSE))</f>
        <v/>
      </c>
      <c r="Q160" s="6" t="str">
        <f>IF(OR(A160="", ISNUMBER(SEARCH("PFr", C160))), "", VLOOKUP(J160, [1]Initiated!$A:$Y, 8, 0))</f>
        <v/>
      </c>
      <c r="R160" s="5" t="str">
        <f t="shared" si="36"/>
        <v/>
      </c>
      <c r="S160" s="4" t="str">
        <f>IF(A160="","",VLOOKUP(J160,[1]Initiated!$A:$Y,3,FALSE))</f>
        <v/>
      </c>
      <c r="T160" s="4" t="str">
        <f t="shared" ca="1" si="37"/>
        <v/>
      </c>
      <c r="U160" s="5" t="str">
        <f t="shared" si="38"/>
        <v/>
      </c>
      <c r="V160" s="5" t="str">
        <f t="shared" si="39"/>
        <v/>
      </c>
      <c r="W160" s="4" t="str">
        <f>IF(A160="","",VLOOKUP(J160,[1]Initiated!$A:$Y,10,0))</f>
        <v/>
      </c>
      <c r="X160" s="5" t="str">
        <f t="shared" si="40"/>
        <v/>
      </c>
    </row>
    <row r="161" spans="1:24" x14ac:dyDescent="0.25">
      <c r="A161" s="6"/>
      <c r="B161" s="6" t="str">
        <f t="shared" si="30"/>
        <v/>
      </c>
      <c r="C161" s="6" t="str">
        <f t="shared" si="31"/>
        <v/>
      </c>
      <c r="D161" s="6"/>
      <c r="E161" s="6"/>
      <c r="F161" s="6"/>
      <c r="G161" s="6"/>
      <c r="H161" s="6" t="str">
        <f t="shared" si="32"/>
        <v/>
      </c>
      <c r="I161" s="6" t="str">
        <f t="shared" ca="1" si="33"/>
        <v/>
      </c>
      <c r="J161" s="3" t="str">
        <f t="shared" si="34"/>
        <v/>
      </c>
      <c r="K161" s="6" t="str">
        <f>IF(A161="","",VLOOKUP(J161,[1]Initiated!$A:$Y,2,0))</f>
        <v/>
      </c>
      <c r="L161" s="2" t="str">
        <f>IF(A161="","",VLOOKUP(J161,[1]Initiated!$A:$Y,5,FALSE))</f>
        <v/>
      </c>
      <c r="M161" s="6" t="str">
        <f>IF(A161="","",VLOOKUP(J161,[1]Initiated!$A:$Y,6,FALSE))</f>
        <v/>
      </c>
      <c r="N161" s="6" t="str">
        <f>IF(A161="","",VLOOKUP(J161,[1]Initiated!$A:$Y,9,FALSE))</f>
        <v/>
      </c>
      <c r="O161" s="3" t="str">
        <f t="shared" si="35"/>
        <v/>
      </c>
      <c r="P161" s="6" t="str">
        <f>IF(OR(A161="", ISNUMBER(SEARCH("PFr", C161))), "", VLOOKUP(J161, [1]Initiated!$A:$Y, 7, FALSE))</f>
        <v/>
      </c>
      <c r="Q161" s="6" t="str">
        <f>IF(OR(A161="", ISNUMBER(SEARCH("PFr", C161))), "", VLOOKUP(J161, [1]Initiated!$A:$Y, 8, 0))</f>
        <v/>
      </c>
      <c r="R161" s="5" t="str">
        <f t="shared" si="36"/>
        <v/>
      </c>
      <c r="S161" s="4" t="str">
        <f>IF(A161="","",VLOOKUP(J161,[1]Initiated!$A:$Y,3,FALSE))</f>
        <v/>
      </c>
      <c r="T161" s="4" t="str">
        <f t="shared" ca="1" si="37"/>
        <v/>
      </c>
      <c r="U161" s="5" t="str">
        <f t="shared" si="38"/>
        <v/>
      </c>
      <c r="V161" s="5" t="str">
        <f t="shared" si="39"/>
        <v/>
      </c>
      <c r="W161" s="4" t="str">
        <f>IF(A161="","",VLOOKUP(J161,[1]Initiated!$A:$Y,10,0))</f>
        <v/>
      </c>
      <c r="X161" s="5" t="str">
        <f t="shared" si="40"/>
        <v/>
      </c>
    </row>
    <row r="162" spans="1:24" x14ac:dyDescent="0.25">
      <c r="A162" s="6"/>
      <c r="B162" s="6" t="str">
        <f t="shared" si="30"/>
        <v/>
      </c>
      <c r="C162" s="6" t="str">
        <f t="shared" si="31"/>
        <v/>
      </c>
      <c r="D162" s="6"/>
      <c r="E162" s="6"/>
      <c r="F162" s="6"/>
      <c r="G162" s="6"/>
      <c r="H162" s="6" t="str">
        <f t="shared" si="32"/>
        <v/>
      </c>
      <c r="I162" s="6" t="str">
        <f t="shared" ca="1" si="33"/>
        <v/>
      </c>
      <c r="J162" s="3" t="str">
        <f t="shared" si="34"/>
        <v/>
      </c>
      <c r="K162" s="6" t="str">
        <f>IF(A162="","",VLOOKUP(J162,[1]Initiated!$A:$Y,2,0))</f>
        <v/>
      </c>
      <c r="L162" s="2" t="str">
        <f>IF(A162="","",VLOOKUP(J162,[1]Initiated!$A:$Y,5,FALSE))</f>
        <v/>
      </c>
      <c r="M162" s="6" t="str">
        <f>IF(A162="","",VLOOKUP(J162,[1]Initiated!$A:$Y,6,FALSE))</f>
        <v/>
      </c>
      <c r="N162" s="6" t="str">
        <f>IF(A162="","",VLOOKUP(J162,[1]Initiated!$A:$Y,9,FALSE))</f>
        <v/>
      </c>
      <c r="O162" s="3" t="str">
        <f t="shared" si="35"/>
        <v/>
      </c>
      <c r="P162" s="6" t="str">
        <f>IF(OR(A162="", ISNUMBER(SEARCH("PFr", C162))), "", VLOOKUP(J162, [1]Initiated!$A:$Y, 7, FALSE))</f>
        <v/>
      </c>
      <c r="Q162" s="6" t="str">
        <f>IF(OR(A162="", ISNUMBER(SEARCH("PFr", C162))), "", VLOOKUP(J162, [1]Initiated!$A:$Y, 8, 0))</f>
        <v/>
      </c>
      <c r="R162" s="5" t="str">
        <f t="shared" si="36"/>
        <v/>
      </c>
      <c r="S162" s="4" t="str">
        <f>IF(A162="","",VLOOKUP(J162,[1]Initiated!$A:$Y,3,FALSE))</f>
        <v/>
      </c>
      <c r="T162" s="4" t="str">
        <f t="shared" ca="1" si="37"/>
        <v/>
      </c>
      <c r="U162" s="5" t="str">
        <f t="shared" si="38"/>
        <v/>
      </c>
      <c r="V162" s="5" t="str">
        <f t="shared" si="39"/>
        <v/>
      </c>
      <c r="W162" s="4" t="str">
        <f>IF(A162="","",VLOOKUP(J162,[1]Initiated!$A:$Y,10,0))</f>
        <v/>
      </c>
      <c r="X162" s="5" t="str">
        <f t="shared" si="40"/>
        <v/>
      </c>
    </row>
    <row r="163" spans="1:24" x14ac:dyDescent="0.25">
      <c r="A163" s="6"/>
      <c r="B163" s="6" t="str">
        <f t="shared" si="30"/>
        <v/>
      </c>
      <c r="C163" s="6" t="str">
        <f t="shared" si="31"/>
        <v/>
      </c>
      <c r="D163" s="6"/>
      <c r="E163" s="6"/>
      <c r="F163" s="6"/>
      <c r="G163" s="6"/>
      <c r="H163" s="6" t="str">
        <f t="shared" si="32"/>
        <v/>
      </c>
      <c r="I163" s="6" t="str">
        <f t="shared" ca="1" si="33"/>
        <v/>
      </c>
      <c r="J163" s="3" t="str">
        <f t="shared" si="34"/>
        <v/>
      </c>
      <c r="K163" s="6" t="str">
        <f>IF(A163="","",VLOOKUP(J163,[1]Initiated!$A:$Y,2,0))</f>
        <v/>
      </c>
      <c r="L163" s="2" t="str">
        <f>IF(A163="","",VLOOKUP(J163,[1]Initiated!$A:$Y,5,FALSE))</f>
        <v/>
      </c>
      <c r="M163" s="6" t="str">
        <f>IF(A163="","",VLOOKUP(J163,[1]Initiated!$A:$Y,6,FALSE))</f>
        <v/>
      </c>
      <c r="N163" s="6" t="str">
        <f>IF(A163="","",VLOOKUP(J163,[1]Initiated!$A:$Y,9,FALSE))</f>
        <v/>
      </c>
      <c r="O163" s="3" t="str">
        <f t="shared" si="35"/>
        <v/>
      </c>
      <c r="P163" s="6" t="str">
        <f>IF(OR(A163="", ISNUMBER(SEARCH("PFr", C163))), "", VLOOKUP(J163, [1]Initiated!$A:$Y, 7, FALSE))</f>
        <v/>
      </c>
      <c r="Q163" s="6" t="str">
        <f>IF(OR(A163="", ISNUMBER(SEARCH("PFr", C163))), "", VLOOKUP(J163, [1]Initiated!$A:$Y, 8, 0))</f>
        <v/>
      </c>
      <c r="R163" s="5" t="str">
        <f t="shared" si="36"/>
        <v/>
      </c>
      <c r="S163" s="4" t="str">
        <f>IF(A163="","",VLOOKUP(J163,[1]Initiated!$A:$Y,3,FALSE))</f>
        <v/>
      </c>
      <c r="T163" s="4" t="str">
        <f t="shared" ca="1" si="37"/>
        <v/>
      </c>
      <c r="U163" s="5" t="str">
        <f t="shared" si="38"/>
        <v/>
      </c>
      <c r="V163" s="5" t="str">
        <f t="shared" si="39"/>
        <v/>
      </c>
      <c r="W163" s="4" t="str">
        <f>IF(A163="","",VLOOKUP(J163,[1]Initiated!$A:$Y,10,0))</f>
        <v/>
      </c>
      <c r="X163" s="5" t="str">
        <f t="shared" si="40"/>
        <v/>
      </c>
    </row>
    <row r="164" spans="1:24" x14ac:dyDescent="0.25">
      <c r="A164" s="6"/>
      <c r="B164" s="6" t="str">
        <f t="shared" si="30"/>
        <v/>
      </c>
      <c r="C164" s="6" t="str">
        <f t="shared" si="31"/>
        <v/>
      </c>
      <c r="D164" s="6"/>
      <c r="E164" s="6"/>
      <c r="F164" s="6"/>
      <c r="G164" s="6"/>
      <c r="H164" s="6" t="str">
        <f t="shared" si="32"/>
        <v/>
      </c>
      <c r="I164" s="6" t="str">
        <f t="shared" ca="1" si="33"/>
        <v/>
      </c>
      <c r="J164" s="3" t="str">
        <f t="shared" si="34"/>
        <v/>
      </c>
      <c r="K164" s="6" t="str">
        <f>IF(A164="","",VLOOKUP(J164,[1]Initiated!$A:$Y,2,0))</f>
        <v/>
      </c>
      <c r="L164" s="2" t="str">
        <f>IF(A164="","",VLOOKUP(J164,[1]Initiated!$A:$Y,5,FALSE))</f>
        <v/>
      </c>
      <c r="M164" s="6" t="str">
        <f>IF(A164="","",VLOOKUP(J164,[1]Initiated!$A:$Y,6,FALSE))</f>
        <v/>
      </c>
      <c r="N164" s="6" t="str">
        <f>IF(A164="","",VLOOKUP(J164,[1]Initiated!$A:$Y,9,FALSE))</f>
        <v/>
      </c>
      <c r="O164" s="3" t="str">
        <f t="shared" si="35"/>
        <v/>
      </c>
      <c r="P164" s="6" t="str">
        <f>IF(OR(A164="", ISNUMBER(SEARCH("PFr", C164))), "", VLOOKUP(J164, [1]Initiated!$A:$Y, 7, FALSE))</f>
        <v/>
      </c>
      <c r="Q164" s="6" t="str">
        <f>IF(OR(A164="", ISNUMBER(SEARCH("PFr", C164))), "", VLOOKUP(J164, [1]Initiated!$A:$Y, 8, 0))</f>
        <v/>
      </c>
      <c r="R164" s="5" t="str">
        <f t="shared" si="36"/>
        <v/>
      </c>
      <c r="S164" s="4" t="str">
        <f>IF(A164="","",VLOOKUP(J164,[1]Initiated!$A:$Y,3,FALSE))</f>
        <v/>
      </c>
      <c r="T164" s="4" t="str">
        <f t="shared" ca="1" si="37"/>
        <v/>
      </c>
      <c r="U164" s="5" t="str">
        <f t="shared" si="38"/>
        <v/>
      </c>
      <c r="V164" s="5" t="str">
        <f t="shared" si="39"/>
        <v/>
      </c>
      <c r="W164" s="4" t="str">
        <f>IF(A164="","",VLOOKUP(J164,[1]Initiated!$A:$Y,10,0))</f>
        <v/>
      </c>
      <c r="X164" s="5" t="str">
        <f t="shared" si="40"/>
        <v/>
      </c>
    </row>
    <row r="165" spans="1:24" x14ac:dyDescent="0.25">
      <c r="A165" s="6"/>
      <c r="B165" s="6" t="str">
        <f t="shared" si="30"/>
        <v/>
      </c>
      <c r="C165" s="6" t="str">
        <f t="shared" si="31"/>
        <v/>
      </c>
      <c r="D165" s="6"/>
      <c r="E165" s="6"/>
      <c r="F165" s="6"/>
      <c r="G165" s="6"/>
      <c r="H165" s="6" t="str">
        <f t="shared" si="32"/>
        <v/>
      </c>
      <c r="I165" s="6" t="str">
        <f t="shared" ca="1" si="33"/>
        <v/>
      </c>
      <c r="J165" s="3" t="str">
        <f t="shared" si="34"/>
        <v/>
      </c>
      <c r="K165" s="6" t="str">
        <f>IF(A165="","",VLOOKUP(J165,[1]Initiated!$A:$Y,2,0))</f>
        <v/>
      </c>
      <c r="L165" s="2" t="str">
        <f>IF(A165="","",VLOOKUP(J165,[1]Initiated!$A:$Y,5,FALSE))</f>
        <v/>
      </c>
      <c r="M165" s="6" t="str">
        <f>IF(A165="","",VLOOKUP(J165,[1]Initiated!$A:$Y,6,FALSE))</f>
        <v/>
      </c>
      <c r="N165" s="6" t="str">
        <f>IF(A165="","",VLOOKUP(J165,[1]Initiated!$A:$Y,9,FALSE))</f>
        <v/>
      </c>
      <c r="O165" s="3" t="str">
        <f t="shared" si="35"/>
        <v/>
      </c>
      <c r="P165" s="6" t="str">
        <f>IF(OR(A165="", ISNUMBER(SEARCH("PFr", C165))), "", VLOOKUP(J165, [1]Initiated!$A:$Y, 7, FALSE))</f>
        <v/>
      </c>
      <c r="Q165" s="6" t="str">
        <f>IF(OR(A165="", ISNUMBER(SEARCH("PFr", C165))), "", VLOOKUP(J165, [1]Initiated!$A:$Y, 8, 0))</f>
        <v/>
      </c>
      <c r="R165" s="5" t="str">
        <f t="shared" si="36"/>
        <v/>
      </c>
      <c r="S165" s="4" t="str">
        <f>IF(A165="","",VLOOKUP(J165,[1]Initiated!$A:$Y,3,FALSE))</f>
        <v/>
      </c>
      <c r="T165" s="4" t="str">
        <f t="shared" ca="1" si="37"/>
        <v/>
      </c>
      <c r="U165" s="5" t="str">
        <f t="shared" si="38"/>
        <v/>
      </c>
      <c r="V165" s="5" t="str">
        <f t="shared" si="39"/>
        <v/>
      </c>
      <c r="W165" s="4" t="str">
        <f>IF(A165="","",VLOOKUP(J165,[1]Initiated!$A:$Y,10,0))</f>
        <v/>
      </c>
      <c r="X165" s="5" t="str">
        <f t="shared" si="40"/>
        <v/>
      </c>
    </row>
    <row r="166" spans="1:24" x14ac:dyDescent="0.25">
      <c r="A166" s="6"/>
      <c r="B166" s="6" t="str">
        <f t="shared" si="30"/>
        <v/>
      </c>
      <c r="C166" s="6" t="str">
        <f t="shared" si="31"/>
        <v/>
      </c>
      <c r="D166" s="6"/>
      <c r="E166" s="6"/>
      <c r="F166" s="6"/>
      <c r="G166" s="6"/>
      <c r="H166" s="6" t="str">
        <f t="shared" si="32"/>
        <v/>
      </c>
      <c r="I166" s="6" t="str">
        <f t="shared" ca="1" si="33"/>
        <v/>
      </c>
      <c r="J166" s="3" t="str">
        <f t="shared" si="34"/>
        <v/>
      </c>
      <c r="K166" s="6" t="str">
        <f>IF(A166="","",VLOOKUP(J166,[1]Initiated!$A:$Y,2,0))</f>
        <v/>
      </c>
      <c r="L166" s="2" t="str">
        <f>IF(A166="","",VLOOKUP(J166,[1]Initiated!$A:$Y,5,FALSE))</f>
        <v/>
      </c>
      <c r="M166" s="6" t="str">
        <f>IF(A166="","",VLOOKUP(J166,[1]Initiated!$A:$Y,6,FALSE))</f>
        <v/>
      </c>
      <c r="N166" s="6" t="str">
        <f>IF(A166="","",VLOOKUP(J166,[1]Initiated!$A:$Y,9,FALSE))</f>
        <v/>
      </c>
      <c r="O166" s="3" t="str">
        <f t="shared" si="35"/>
        <v/>
      </c>
      <c r="P166" s="6" t="str">
        <f>IF(OR(A166="", ISNUMBER(SEARCH("PFr", C166))), "", VLOOKUP(J166, [1]Initiated!$A:$Y, 7, FALSE))</f>
        <v/>
      </c>
      <c r="Q166" s="6" t="str">
        <f>IF(OR(A166="", ISNUMBER(SEARCH("PFr", C166))), "", VLOOKUP(J166, [1]Initiated!$A:$Y, 8, 0))</f>
        <v/>
      </c>
      <c r="R166" s="5" t="str">
        <f t="shared" si="36"/>
        <v/>
      </c>
      <c r="S166" s="4" t="str">
        <f>IF(A166="","",VLOOKUP(J166,[1]Initiated!$A:$Y,3,FALSE))</f>
        <v/>
      </c>
      <c r="T166" s="4" t="str">
        <f t="shared" ca="1" si="37"/>
        <v/>
      </c>
      <c r="U166" s="5" t="str">
        <f t="shared" si="38"/>
        <v/>
      </c>
      <c r="V166" s="5" t="str">
        <f t="shared" si="39"/>
        <v/>
      </c>
      <c r="W166" s="4" t="str">
        <f>IF(A166="","",VLOOKUP(J166,[1]Initiated!$A:$Y,10,0))</f>
        <v/>
      </c>
      <c r="X166" s="5" t="str">
        <f t="shared" si="40"/>
        <v/>
      </c>
    </row>
    <row r="167" spans="1:24" x14ac:dyDescent="0.25">
      <c r="A167" s="6"/>
      <c r="B167" s="6" t="str">
        <f t="shared" si="30"/>
        <v/>
      </c>
      <c r="C167" s="6" t="str">
        <f t="shared" si="31"/>
        <v/>
      </c>
      <c r="D167" s="6"/>
      <c r="E167" s="6"/>
      <c r="F167" s="6"/>
      <c r="G167" s="6"/>
      <c r="H167" s="6" t="str">
        <f t="shared" si="32"/>
        <v/>
      </c>
      <c r="I167" s="6" t="str">
        <f t="shared" ca="1" si="33"/>
        <v/>
      </c>
      <c r="J167" s="3" t="str">
        <f t="shared" si="34"/>
        <v/>
      </c>
      <c r="K167" s="6" t="str">
        <f>IF(A167="","",VLOOKUP(J167,[1]Initiated!$A:$Y,2,0))</f>
        <v/>
      </c>
      <c r="L167" s="2" t="str">
        <f>IF(A167="","",VLOOKUP(J167,[1]Initiated!$A:$Y,5,FALSE))</f>
        <v/>
      </c>
      <c r="M167" s="6" t="str">
        <f>IF(A167="","",VLOOKUP(J167,[1]Initiated!$A:$Y,6,FALSE))</f>
        <v/>
      </c>
      <c r="N167" s="6" t="str">
        <f>IF(A167="","",VLOOKUP(J167,[1]Initiated!$A:$Y,9,FALSE))</f>
        <v/>
      </c>
      <c r="O167" s="3" t="str">
        <f t="shared" si="35"/>
        <v/>
      </c>
      <c r="P167" s="6" t="str">
        <f>IF(OR(A167="", ISNUMBER(SEARCH("PFr", C167))), "", VLOOKUP(J167, [1]Initiated!$A:$Y, 7, FALSE))</f>
        <v/>
      </c>
      <c r="Q167" s="6" t="str">
        <f>IF(OR(A167="", ISNUMBER(SEARCH("PFr", C167))), "", VLOOKUP(J167, [1]Initiated!$A:$Y, 8, 0))</f>
        <v/>
      </c>
      <c r="R167" s="5" t="str">
        <f t="shared" si="36"/>
        <v/>
      </c>
      <c r="S167" s="4" t="str">
        <f>IF(A167="","",VLOOKUP(J167,[1]Initiated!$A:$Y,3,FALSE))</f>
        <v/>
      </c>
      <c r="T167" s="4" t="str">
        <f t="shared" ca="1" si="37"/>
        <v/>
      </c>
      <c r="U167" s="5" t="str">
        <f t="shared" si="38"/>
        <v/>
      </c>
      <c r="V167" s="5" t="str">
        <f t="shared" si="39"/>
        <v/>
      </c>
      <c r="W167" s="4" t="str">
        <f>IF(A167="","",VLOOKUP(J167,[1]Initiated!$A:$Y,10,0))</f>
        <v/>
      </c>
      <c r="X167" s="5" t="str">
        <f t="shared" si="40"/>
        <v/>
      </c>
    </row>
    <row r="168" spans="1:24" x14ac:dyDescent="0.25">
      <c r="A168" s="6"/>
      <c r="B168" s="6" t="str">
        <f t="shared" si="30"/>
        <v/>
      </c>
      <c r="C168" s="6" t="str">
        <f t="shared" si="31"/>
        <v/>
      </c>
      <c r="D168" s="6"/>
      <c r="E168" s="6"/>
      <c r="F168" s="6"/>
      <c r="G168" s="6"/>
      <c r="H168" s="6" t="str">
        <f t="shared" si="32"/>
        <v/>
      </c>
      <c r="I168" s="6" t="str">
        <f t="shared" ca="1" si="33"/>
        <v/>
      </c>
      <c r="J168" s="3" t="str">
        <f t="shared" si="34"/>
        <v/>
      </c>
      <c r="K168" s="6" t="str">
        <f>IF(A168="","",VLOOKUP(J168,[1]Initiated!$A:$Y,2,0))</f>
        <v/>
      </c>
      <c r="L168" s="2" t="str">
        <f>IF(A168="","",VLOOKUP(J168,[1]Initiated!$A:$Y,5,FALSE))</f>
        <v/>
      </c>
      <c r="M168" s="6" t="str">
        <f>IF(A168="","",VLOOKUP(J168,[1]Initiated!$A:$Y,6,FALSE))</f>
        <v/>
      </c>
      <c r="N168" s="6" t="str">
        <f>IF(A168="","",VLOOKUP(J168,[1]Initiated!$A:$Y,9,FALSE))</f>
        <v/>
      </c>
      <c r="O168" s="3" t="str">
        <f t="shared" si="35"/>
        <v/>
      </c>
      <c r="P168" s="6" t="str">
        <f>IF(OR(A168="", ISNUMBER(SEARCH("PFr", C168))), "", VLOOKUP(J168, [1]Initiated!$A:$Y, 7, FALSE))</f>
        <v/>
      </c>
      <c r="Q168" s="6" t="str">
        <f>IF(OR(A168="", ISNUMBER(SEARCH("PFr", C168))), "", VLOOKUP(J168, [1]Initiated!$A:$Y, 8, 0))</f>
        <v/>
      </c>
      <c r="R168" s="5" t="str">
        <f t="shared" si="36"/>
        <v/>
      </c>
      <c r="S168" s="4" t="str">
        <f>IF(A168="","",VLOOKUP(J168,[1]Initiated!$A:$Y,3,FALSE))</f>
        <v/>
      </c>
      <c r="T168" s="4" t="str">
        <f t="shared" ca="1" si="37"/>
        <v/>
      </c>
      <c r="U168" s="5" t="str">
        <f t="shared" si="38"/>
        <v/>
      </c>
      <c r="V168" s="5" t="str">
        <f t="shared" si="39"/>
        <v/>
      </c>
      <c r="W168" s="4" t="str">
        <f>IF(A168="","",VLOOKUP(J168,[1]Initiated!$A:$Y,10,0))</f>
        <v/>
      </c>
      <c r="X168" s="5" t="str">
        <f t="shared" si="40"/>
        <v/>
      </c>
    </row>
    <row r="169" spans="1:24" x14ac:dyDescent="0.25">
      <c r="A169" s="6"/>
      <c r="B169" s="6" t="str">
        <f t="shared" si="30"/>
        <v/>
      </c>
      <c r="C169" s="6" t="str">
        <f t="shared" si="31"/>
        <v/>
      </c>
      <c r="D169" s="6"/>
      <c r="E169" s="6"/>
      <c r="F169" s="6"/>
      <c r="G169" s="6"/>
      <c r="H169" s="6" t="str">
        <f t="shared" si="32"/>
        <v/>
      </c>
      <c r="I169" s="6" t="str">
        <f t="shared" ca="1" si="33"/>
        <v/>
      </c>
      <c r="J169" s="3" t="str">
        <f t="shared" si="34"/>
        <v/>
      </c>
      <c r="K169" s="6" t="str">
        <f>IF(A169="","",VLOOKUP(J169,[1]Initiated!$A:$Y,2,0))</f>
        <v/>
      </c>
      <c r="L169" s="2" t="str">
        <f>IF(A169="","",VLOOKUP(J169,[1]Initiated!$A:$Y,5,FALSE))</f>
        <v/>
      </c>
      <c r="M169" s="6" t="str">
        <f>IF(A169="","",VLOOKUP(J169,[1]Initiated!$A:$Y,6,FALSE))</f>
        <v/>
      </c>
      <c r="N169" s="6" t="str">
        <f>IF(A169="","",VLOOKUP(J169,[1]Initiated!$A:$Y,9,FALSE))</f>
        <v/>
      </c>
      <c r="O169" s="3" t="str">
        <f t="shared" si="35"/>
        <v/>
      </c>
      <c r="P169" s="6" t="str">
        <f>IF(OR(A169="", ISNUMBER(SEARCH("PFr", C169))), "", VLOOKUP(J169, [1]Initiated!$A:$Y, 7, FALSE))</f>
        <v/>
      </c>
      <c r="Q169" s="6" t="str">
        <f>IF(OR(A169="", ISNUMBER(SEARCH("PFr", C169))), "", VLOOKUP(J169, [1]Initiated!$A:$Y, 8, 0))</f>
        <v/>
      </c>
      <c r="R169" s="5" t="str">
        <f t="shared" si="36"/>
        <v/>
      </c>
      <c r="S169" s="4" t="str">
        <f>IF(A169="","",VLOOKUP(J169,[1]Initiated!$A:$Y,3,FALSE))</f>
        <v/>
      </c>
      <c r="T169" s="4" t="str">
        <f t="shared" ca="1" si="37"/>
        <v/>
      </c>
      <c r="U169" s="5" t="str">
        <f t="shared" si="38"/>
        <v/>
      </c>
      <c r="V169" s="5" t="str">
        <f t="shared" si="39"/>
        <v/>
      </c>
      <c r="W169" s="4" t="str">
        <f>IF(A169="","",VLOOKUP(J169,[1]Initiated!$A:$Y,10,0))</f>
        <v/>
      </c>
      <c r="X169" s="5" t="str">
        <f t="shared" si="40"/>
        <v/>
      </c>
    </row>
    <row r="170" spans="1:24" x14ac:dyDescent="0.25">
      <c r="A170" s="6"/>
      <c r="B170" s="6" t="str">
        <f t="shared" si="30"/>
        <v/>
      </c>
      <c r="C170" s="6" t="str">
        <f t="shared" si="31"/>
        <v/>
      </c>
      <c r="D170" s="6"/>
      <c r="E170" s="6"/>
      <c r="F170" s="6"/>
      <c r="G170" s="6"/>
      <c r="H170" s="6" t="str">
        <f t="shared" si="32"/>
        <v/>
      </c>
      <c r="I170" s="6" t="str">
        <f t="shared" ca="1" si="33"/>
        <v/>
      </c>
      <c r="J170" s="3" t="str">
        <f t="shared" si="34"/>
        <v/>
      </c>
      <c r="K170" s="6" t="str">
        <f>IF(A170="","",VLOOKUP(J170,[1]Initiated!$A:$Y,2,0))</f>
        <v/>
      </c>
      <c r="L170" s="2" t="str">
        <f>IF(A170="","",VLOOKUP(J170,[1]Initiated!$A:$Y,5,FALSE))</f>
        <v/>
      </c>
      <c r="M170" s="6" t="str">
        <f>IF(A170="","",VLOOKUP(J170,[1]Initiated!$A:$Y,6,FALSE))</f>
        <v/>
      </c>
      <c r="N170" s="6" t="str">
        <f>IF(A170="","",VLOOKUP(J170,[1]Initiated!$A:$Y,9,FALSE))</f>
        <v/>
      </c>
      <c r="O170" s="3" t="str">
        <f t="shared" si="35"/>
        <v/>
      </c>
      <c r="P170" s="6" t="str">
        <f>IF(OR(A170="", ISNUMBER(SEARCH("PFr", C170))), "", VLOOKUP(J170, [1]Initiated!$A:$Y, 7, FALSE))</f>
        <v/>
      </c>
      <c r="Q170" s="6" t="str">
        <f>IF(OR(A170="", ISNUMBER(SEARCH("PFr", C170))), "", VLOOKUP(J170, [1]Initiated!$A:$Y, 8, 0))</f>
        <v/>
      </c>
      <c r="R170" s="5" t="str">
        <f t="shared" si="36"/>
        <v/>
      </c>
      <c r="S170" s="4" t="str">
        <f>IF(A170="","",VLOOKUP(J170,[1]Initiated!$A:$Y,3,FALSE))</f>
        <v/>
      </c>
      <c r="T170" s="4" t="str">
        <f t="shared" ca="1" si="37"/>
        <v/>
      </c>
      <c r="U170" s="5" t="str">
        <f t="shared" si="38"/>
        <v/>
      </c>
      <c r="V170" s="5" t="str">
        <f t="shared" si="39"/>
        <v/>
      </c>
      <c r="W170" s="4" t="str">
        <f>IF(A170="","",VLOOKUP(J170,[1]Initiated!$A:$Y,10,0))</f>
        <v/>
      </c>
      <c r="X170" s="5" t="str">
        <f t="shared" si="40"/>
        <v/>
      </c>
    </row>
    <row r="171" spans="1:24" x14ac:dyDescent="0.25">
      <c r="A171" s="6"/>
      <c r="B171" s="6" t="str">
        <f t="shared" si="30"/>
        <v/>
      </c>
      <c r="C171" s="6" t="str">
        <f t="shared" si="31"/>
        <v/>
      </c>
      <c r="D171" s="6"/>
      <c r="E171" s="6"/>
      <c r="F171" s="6"/>
      <c r="G171" s="6"/>
      <c r="H171" s="6" t="str">
        <f t="shared" si="32"/>
        <v/>
      </c>
      <c r="I171" s="6" t="str">
        <f t="shared" ca="1" si="33"/>
        <v/>
      </c>
      <c r="J171" s="3" t="str">
        <f t="shared" si="34"/>
        <v/>
      </c>
      <c r="K171" s="6" t="str">
        <f>IF(A171="","",VLOOKUP(J171,[1]Initiated!$A:$Y,2,0))</f>
        <v/>
      </c>
      <c r="L171" s="2" t="str">
        <f>IF(A171="","",VLOOKUP(J171,[1]Initiated!$A:$Y,5,FALSE))</f>
        <v/>
      </c>
      <c r="M171" s="6" t="str">
        <f>IF(A171="","",VLOOKUP(J171,[1]Initiated!$A:$Y,6,FALSE))</f>
        <v/>
      </c>
      <c r="N171" s="6" t="str">
        <f>IF(A171="","",VLOOKUP(J171,[1]Initiated!$A:$Y,9,FALSE))</f>
        <v/>
      </c>
      <c r="O171" s="3" t="str">
        <f t="shared" si="35"/>
        <v/>
      </c>
      <c r="P171" s="6" t="str">
        <f>IF(OR(A171="", ISNUMBER(SEARCH("PFr", C171))), "", VLOOKUP(J171, [1]Initiated!$A:$Y, 7, FALSE))</f>
        <v/>
      </c>
      <c r="Q171" s="6" t="str">
        <f>IF(OR(A171="", ISNUMBER(SEARCH("PFr", C171))), "", VLOOKUP(J171, [1]Initiated!$A:$Y, 8, 0))</f>
        <v/>
      </c>
      <c r="R171" s="5" t="str">
        <f t="shared" si="36"/>
        <v/>
      </c>
      <c r="S171" s="4" t="str">
        <f>IF(A171="","",VLOOKUP(J171,[1]Initiated!$A:$Y,3,FALSE))</f>
        <v/>
      </c>
      <c r="T171" s="4" t="str">
        <f t="shared" ca="1" si="37"/>
        <v/>
      </c>
      <c r="U171" s="5" t="str">
        <f t="shared" si="38"/>
        <v/>
      </c>
      <c r="V171" s="5" t="str">
        <f t="shared" si="39"/>
        <v/>
      </c>
      <c r="W171" s="4" t="str">
        <f>IF(A171="","",VLOOKUP(J171,[1]Initiated!$A:$Y,10,0))</f>
        <v/>
      </c>
      <c r="X171" s="5" t="str">
        <f t="shared" si="40"/>
        <v/>
      </c>
    </row>
    <row r="172" spans="1:24" x14ac:dyDescent="0.25">
      <c r="A172" s="6"/>
      <c r="B172" s="6" t="str">
        <f t="shared" si="30"/>
        <v/>
      </c>
      <c r="C172" s="6" t="str">
        <f t="shared" si="31"/>
        <v/>
      </c>
      <c r="D172" s="6"/>
      <c r="E172" s="6"/>
      <c r="F172" s="6"/>
      <c r="G172" s="6"/>
      <c r="H172" s="6" t="str">
        <f t="shared" si="32"/>
        <v/>
      </c>
      <c r="I172" s="6" t="str">
        <f t="shared" ca="1" si="33"/>
        <v/>
      </c>
      <c r="J172" s="3" t="str">
        <f t="shared" si="34"/>
        <v/>
      </c>
      <c r="K172" s="6" t="str">
        <f>IF(A172="","",VLOOKUP(J172,[1]Initiated!$A:$Y,2,0))</f>
        <v/>
      </c>
      <c r="L172" s="2" t="str">
        <f>IF(A172="","",VLOOKUP(J172,[1]Initiated!$A:$Y,5,FALSE))</f>
        <v/>
      </c>
      <c r="M172" s="6" t="str">
        <f>IF(A172="","",VLOOKUP(J172,[1]Initiated!$A:$Y,6,FALSE))</f>
        <v/>
      </c>
      <c r="N172" s="6" t="str">
        <f>IF(A172="","",VLOOKUP(J172,[1]Initiated!$A:$Y,9,FALSE))</f>
        <v/>
      </c>
      <c r="O172" s="3" t="str">
        <f t="shared" si="35"/>
        <v/>
      </c>
      <c r="P172" s="6" t="str">
        <f>IF(OR(A172="", ISNUMBER(SEARCH("PFr", C172))), "", VLOOKUP(J172, [1]Initiated!$A:$Y, 7, FALSE))</f>
        <v/>
      </c>
      <c r="Q172" s="6" t="str">
        <f>IF(OR(A172="", ISNUMBER(SEARCH("PFr", C172))), "", VLOOKUP(J172, [1]Initiated!$A:$Y, 8, 0))</f>
        <v/>
      </c>
      <c r="R172" s="5" t="str">
        <f t="shared" si="36"/>
        <v/>
      </c>
      <c r="S172" s="4" t="str">
        <f>IF(A172="","",VLOOKUP(J172,[1]Initiated!$A:$Y,3,FALSE))</f>
        <v/>
      </c>
      <c r="T172" s="4" t="str">
        <f t="shared" ca="1" si="37"/>
        <v/>
      </c>
      <c r="U172" s="5" t="str">
        <f t="shared" si="38"/>
        <v/>
      </c>
      <c r="V172" s="5" t="str">
        <f t="shared" si="39"/>
        <v/>
      </c>
      <c r="W172" s="4" t="str">
        <f>IF(A172="","",VLOOKUP(J172,[1]Initiated!$A:$Y,10,0))</f>
        <v/>
      </c>
      <c r="X172" s="5" t="str">
        <f t="shared" si="40"/>
        <v/>
      </c>
    </row>
    <row r="173" spans="1:24" x14ac:dyDescent="0.25">
      <c r="A173" s="6"/>
      <c r="B173" s="6" t="str">
        <f t="shared" si="30"/>
        <v/>
      </c>
      <c r="C173" s="6" t="str">
        <f t="shared" si="31"/>
        <v/>
      </c>
      <c r="D173" s="6"/>
      <c r="E173" s="6"/>
      <c r="F173" s="6"/>
      <c r="G173" s="6"/>
      <c r="H173" s="6" t="str">
        <f t="shared" si="32"/>
        <v/>
      </c>
      <c r="I173" s="6" t="str">
        <f t="shared" ca="1" si="33"/>
        <v/>
      </c>
      <c r="J173" s="3" t="str">
        <f t="shared" si="34"/>
        <v/>
      </c>
      <c r="K173" s="6" t="str">
        <f>IF(A173="","",VLOOKUP(J173,[1]Initiated!$A:$Y,2,0))</f>
        <v/>
      </c>
      <c r="L173" s="2" t="str">
        <f>IF(A173="","",VLOOKUP(J173,[1]Initiated!$A:$Y,5,FALSE))</f>
        <v/>
      </c>
      <c r="M173" s="6" t="str">
        <f>IF(A173="","",VLOOKUP(J173,[1]Initiated!$A:$Y,6,FALSE))</f>
        <v/>
      </c>
      <c r="N173" s="6" t="str">
        <f>IF(A173="","",VLOOKUP(J173,[1]Initiated!$A:$Y,9,FALSE))</f>
        <v/>
      </c>
      <c r="O173" s="3" t="str">
        <f t="shared" si="35"/>
        <v/>
      </c>
      <c r="P173" s="6" t="str">
        <f>IF(OR(A173="", ISNUMBER(SEARCH("PFr", C173))), "", VLOOKUP(J173, [1]Initiated!$A:$Y, 7, FALSE))</f>
        <v/>
      </c>
      <c r="Q173" s="6" t="str">
        <f>IF(OR(A173="", ISNUMBER(SEARCH("PFr", C173))), "", VLOOKUP(J173, [1]Initiated!$A:$Y, 8, 0))</f>
        <v/>
      </c>
      <c r="R173" s="5" t="str">
        <f t="shared" si="36"/>
        <v/>
      </c>
      <c r="S173" s="4" t="str">
        <f>IF(A173="","",VLOOKUP(J173,[1]Initiated!$A:$Y,3,FALSE))</f>
        <v/>
      </c>
      <c r="T173" s="4" t="str">
        <f t="shared" ca="1" si="37"/>
        <v/>
      </c>
      <c r="U173" s="5" t="str">
        <f t="shared" si="38"/>
        <v/>
      </c>
      <c r="V173" s="5" t="str">
        <f t="shared" si="39"/>
        <v/>
      </c>
      <c r="W173" s="4" t="str">
        <f>IF(A173="","",VLOOKUP(J173,[1]Initiated!$A:$Y,10,0))</f>
        <v/>
      </c>
      <c r="X173" s="5" t="str">
        <f t="shared" si="40"/>
        <v/>
      </c>
    </row>
    <row r="174" spans="1:24" x14ac:dyDescent="0.25">
      <c r="A174" s="6"/>
      <c r="B174" s="6" t="str">
        <f t="shared" si="30"/>
        <v/>
      </c>
      <c r="C174" s="6" t="str">
        <f t="shared" si="31"/>
        <v/>
      </c>
      <c r="D174" s="6"/>
      <c r="E174" s="6"/>
      <c r="F174" s="6"/>
      <c r="G174" s="6"/>
      <c r="H174" s="6" t="str">
        <f t="shared" si="32"/>
        <v/>
      </c>
      <c r="I174" s="6" t="str">
        <f t="shared" ca="1" si="33"/>
        <v/>
      </c>
      <c r="J174" s="3" t="str">
        <f t="shared" si="34"/>
        <v/>
      </c>
      <c r="K174" s="6" t="str">
        <f>IF(A174="","",VLOOKUP(J174,[1]Initiated!$A:$Y,2,0))</f>
        <v/>
      </c>
      <c r="L174" s="2" t="str">
        <f>IF(A174="","",VLOOKUP(J174,[1]Initiated!$A:$Y,5,FALSE))</f>
        <v/>
      </c>
      <c r="M174" s="6" t="str">
        <f>IF(A174="","",VLOOKUP(J174,[1]Initiated!$A:$Y,6,FALSE))</f>
        <v/>
      </c>
      <c r="N174" s="6" t="str">
        <f>IF(A174="","",VLOOKUP(J174,[1]Initiated!$A:$Y,9,FALSE))</f>
        <v/>
      </c>
      <c r="O174" s="3" t="str">
        <f t="shared" si="35"/>
        <v/>
      </c>
      <c r="P174" s="6" t="str">
        <f>IF(OR(A174="", ISNUMBER(SEARCH("PFr", C174))), "", VLOOKUP(J174, [1]Initiated!$A:$Y, 7, FALSE))</f>
        <v/>
      </c>
      <c r="Q174" s="6" t="str">
        <f>IF(OR(A174="", ISNUMBER(SEARCH("PFr", C174))), "", VLOOKUP(J174, [1]Initiated!$A:$Y, 8, 0))</f>
        <v/>
      </c>
      <c r="R174" s="5" t="str">
        <f t="shared" si="36"/>
        <v/>
      </c>
      <c r="S174" s="4" t="str">
        <f>IF(A174="","",VLOOKUP(J174,[1]Initiated!$A:$Y,3,FALSE))</f>
        <v/>
      </c>
      <c r="T174" s="4" t="str">
        <f t="shared" ca="1" si="37"/>
        <v/>
      </c>
      <c r="U174" s="5" t="str">
        <f t="shared" si="38"/>
        <v/>
      </c>
      <c r="V174" s="5" t="str">
        <f t="shared" si="39"/>
        <v/>
      </c>
      <c r="W174" s="4" t="str">
        <f>IF(A174="","",VLOOKUP(J174,[1]Initiated!$A:$Y,10,0))</f>
        <v/>
      </c>
      <c r="X174" s="5" t="str">
        <f t="shared" si="40"/>
        <v/>
      </c>
    </row>
    <row r="175" spans="1:24" x14ac:dyDescent="0.25">
      <c r="A175" s="6"/>
      <c r="B175" s="6" t="str">
        <f t="shared" si="30"/>
        <v/>
      </c>
      <c r="C175" s="6" t="str">
        <f t="shared" si="31"/>
        <v/>
      </c>
      <c r="D175" s="6"/>
      <c r="E175" s="6"/>
      <c r="F175" s="6"/>
      <c r="G175" s="6"/>
      <c r="H175" s="6" t="str">
        <f t="shared" si="32"/>
        <v/>
      </c>
      <c r="I175" s="6" t="str">
        <f t="shared" ca="1" si="33"/>
        <v/>
      </c>
      <c r="J175" s="3" t="str">
        <f t="shared" si="34"/>
        <v/>
      </c>
      <c r="K175" s="6" t="str">
        <f>IF(A175="","",VLOOKUP(J175,[1]Initiated!$A:$Y,2,0))</f>
        <v/>
      </c>
      <c r="L175" s="2" t="str">
        <f>IF(A175="","",VLOOKUP(J175,[1]Initiated!$A:$Y,5,FALSE))</f>
        <v/>
      </c>
      <c r="M175" s="6" t="str">
        <f>IF(A175="","",VLOOKUP(J175,[1]Initiated!$A:$Y,6,FALSE))</f>
        <v/>
      </c>
      <c r="N175" s="6" t="str">
        <f>IF(A175="","",VLOOKUP(J175,[1]Initiated!$A:$Y,9,FALSE))</f>
        <v/>
      </c>
      <c r="O175" s="3" t="str">
        <f t="shared" si="35"/>
        <v/>
      </c>
      <c r="P175" s="6" t="str">
        <f>IF(OR(A175="", ISNUMBER(SEARCH("PFr", C175))), "", VLOOKUP(J175, [1]Initiated!$A:$Y, 7, FALSE))</f>
        <v/>
      </c>
      <c r="Q175" s="6" t="str">
        <f>IF(OR(A175="", ISNUMBER(SEARCH("PFr", C175))), "", VLOOKUP(J175, [1]Initiated!$A:$Y, 8, 0))</f>
        <v/>
      </c>
      <c r="R175" s="5" t="str">
        <f t="shared" si="36"/>
        <v/>
      </c>
      <c r="S175" s="4" t="str">
        <f>IF(A175="","",VLOOKUP(J175,[1]Initiated!$A:$Y,3,FALSE))</f>
        <v/>
      </c>
      <c r="T175" s="4" t="str">
        <f t="shared" ca="1" si="37"/>
        <v/>
      </c>
      <c r="U175" s="5" t="str">
        <f t="shared" si="38"/>
        <v/>
      </c>
      <c r="V175" s="5" t="str">
        <f t="shared" si="39"/>
        <v/>
      </c>
      <c r="W175" s="4" t="str">
        <f>IF(A175="","",VLOOKUP(J175,[1]Initiated!$A:$Y,10,0))</f>
        <v/>
      </c>
      <c r="X175" s="5" t="str">
        <f t="shared" si="40"/>
        <v/>
      </c>
    </row>
    <row r="176" spans="1:24" x14ac:dyDescent="0.25">
      <c r="A176" s="6"/>
      <c r="B176" s="6" t="str">
        <f t="shared" si="30"/>
        <v/>
      </c>
      <c r="C176" s="6" t="str">
        <f t="shared" si="31"/>
        <v/>
      </c>
      <c r="D176" s="6"/>
      <c r="E176" s="6"/>
      <c r="F176" s="6"/>
      <c r="G176" s="6"/>
      <c r="H176" s="6" t="str">
        <f t="shared" si="32"/>
        <v/>
      </c>
      <c r="I176" s="6" t="str">
        <f t="shared" ca="1" si="33"/>
        <v/>
      </c>
      <c r="J176" s="3" t="str">
        <f t="shared" si="34"/>
        <v/>
      </c>
      <c r="K176" s="6" t="str">
        <f>IF(A176="","",VLOOKUP(J176,[1]Initiated!$A:$Y,2,0))</f>
        <v/>
      </c>
      <c r="L176" s="2" t="str">
        <f>IF(A176="","",VLOOKUP(J176,[1]Initiated!$A:$Y,5,FALSE))</f>
        <v/>
      </c>
      <c r="M176" s="6" t="str">
        <f>IF(A176="","",VLOOKUP(J176,[1]Initiated!$A:$Y,6,FALSE))</f>
        <v/>
      </c>
      <c r="N176" s="6" t="str">
        <f>IF(A176="","",VLOOKUP(J176,[1]Initiated!$A:$Y,9,FALSE))</f>
        <v/>
      </c>
      <c r="O176" s="3" t="str">
        <f t="shared" si="35"/>
        <v/>
      </c>
      <c r="P176" s="6" t="str">
        <f>IF(OR(A176="", ISNUMBER(SEARCH("PFr", C176))), "", VLOOKUP(J176, [1]Initiated!$A:$Y, 7, FALSE))</f>
        <v/>
      </c>
      <c r="Q176" s="6" t="str">
        <f>IF(OR(A176="", ISNUMBER(SEARCH("PFr", C176))), "", VLOOKUP(J176, [1]Initiated!$A:$Y, 8, 0))</f>
        <v/>
      </c>
      <c r="R176" s="5" t="str">
        <f t="shared" si="36"/>
        <v/>
      </c>
      <c r="S176" s="4" t="str">
        <f>IF(A176="","",VLOOKUP(J176,[1]Initiated!$A:$Y,3,FALSE))</f>
        <v/>
      </c>
      <c r="T176" s="4" t="str">
        <f t="shared" ca="1" si="37"/>
        <v/>
      </c>
      <c r="U176" s="5" t="str">
        <f t="shared" si="38"/>
        <v/>
      </c>
      <c r="V176" s="5" t="str">
        <f t="shared" si="39"/>
        <v/>
      </c>
      <c r="W176" s="4" t="str">
        <f>IF(A176="","",VLOOKUP(J176,[1]Initiated!$A:$Y,10,0))</f>
        <v/>
      </c>
      <c r="X176" s="5" t="str">
        <f t="shared" si="40"/>
        <v/>
      </c>
    </row>
    <row r="177" spans="1:24" x14ac:dyDescent="0.25">
      <c r="A177" s="6"/>
      <c r="B177" s="6" t="str">
        <f t="shared" si="30"/>
        <v/>
      </c>
      <c r="C177" s="6" t="str">
        <f t="shared" si="31"/>
        <v/>
      </c>
      <c r="D177" s="6"/>
      <c r="E177" s="6"/>
      <c r="F177" s="6"/>
      <c r="G177" s="6"/>
      <c r="H177" s="6" t="str">
        <f t="shared" si="32"/>
        <v/>
      </c>
      <c r="I177" s="6" t="str">
        <f t="shared" ca="1" si="33"/>
        <v/>
      </c>
      <c r="J177" s="3" t="str">
        <f t="shared" si="34"/>
        <v/>
      </c>
      <c r="K177" s="6" t="str">
        <f>IF(A177="","",VLOOKUP(J177,[1]Initiated!$A:$Y,2,0))</f>
        <v/>
      </c>
      <c r="L177" s="2" t="str">
        <f>IF(A177="","",VLOOKUP(J177,[1]Initiated!$A:$Y,5,FALSE))</f>
        <v/>
      </c>
      <c r="M177" s="6" t="str">
        <f>IF(A177="","",VLOOKUP(J177,[1]Initiated!$A:$Y,6,FALSE))</f>
        <v/>
      </c>
      <c r="N177" s="6" t="str">
        <f>IF(A177="","",VLOOKUP(J177,[1]Initiated!$A:$Y,9,FALSE))</f>
        <v/>
      </c>
      <c r="O177" s="3" t="str">
        <f t="shared" si="35"/>
        <v/>
      </c>
      <c r="P177" s="6" t="str">
        <f>IF(OR(A177="", ISNUMBER(SEARCH("PFr", C177))), "", VLOOKUP(J177, [1]Initiated!$A:$Y, 7, FALSE))</f>
        <v/>
      </c>
      <c r="Q177" s="6" t="str">
        <f>IF(OR(A177="", ISNUMBER(SEARCH("PFr", C177))), "", VLOOKUP(J177, [1]Initiated!$A:$Y, 8, 0))</f>
        <v/>
      </c>
      <c r="R177" s="5" t="str">
        <f t="shared" si="36"/>
        <v/>
      </c>
      <c r="S177" s="4" t="str">
        <f>IF(A177="","",VLOOKUP(J177,[1]Initiated!$A:$Y,3,FALSE))</f>
        <v/>
      </c>
      <c r="T177" s="4" t="str">
        <f t="shared" ca="1" si="37"/>
        <v/>
      </c>
      <c r="U177" s="5" t="str">
        <f t="shared" si="38"/>
        <v/>
      </c>
      <c r="V177" s="5" t="str">
        <f t="shared" si="39"/>
        <v/>
      </c>
      <c r="W177" s="4" t="str">
        <f>IF(A177="","",VLOOKUP(J177,[1]Initiated!$A:$Y,10,0))</f>
        <v/>
      </c>
      <c r="X177" s="5" t="str">
        <f t="shared" si="40"/>
        <v/>
      </c>
    </row>
    <row r="178" spans="1:24" x14ac:dyDescent="0.25">
      <c r="A178" s="6"/>
      <c r="B178" s="6" t="str">
        <f t="shared" si="30"/>
        <v/>
      </c>
      <c r="C178" s="6" t="str">
        <f t="shared" si="31"/>
        <v/>
      </c>
      <c r="D178" s="6"/>
      <c r="E178" s="6"/>
      <c r="F178" s="6"/>
      <c r="G178" s="6"/>
      <c r="H178" s="6" t="str">
        <f t="shared" si="32"/>
        <v/>
      </c>
      <c r="I178" s="6" t="str">
        <f t="shared" ca="1" si="33"/>
        <v/>
      </c>
      <c r="J178" s="3" t="str">
        <f t="shared" si="34"/>
        <v/>
      </c>
      <c r="K178" s="6" t="str">
        <f>IF(A178="","",VLOOKUP(J178,[1]Initiated!$A:$Y,2,0))</f>
        <v/>
      </c>
      <c r="L178" s="2" t="str">
        <f>IF(A178="","",VLOOKUP(J178,[1]Initiated!$A:$Y,5,FALSE))</f>
        <v/>
      </c>
      <c r="M178" s="6" t="str">
        <f>IF(A178="","",VLOOKUP(J178,[1]Initiated!$A:$Y,6,FALSE))</f>
        <v/>
      </c>
      <c r="N178" s="6" t="str">
        <f>IF(A178="","",VLOOKUP(J178,[1]Initiated!$A:$Y,9,FALSE))</f>
        <v/>
      </c>
      <c r="O178" s="3" t="str">
        <f t="shared" si="35"/>
        <v/>
      </c>
      <c r="P178" s="6" t="str">
        <f>IF(OR(A178="", ISNUMBER(SEARCH("PFr", C178))), "", VLOOKUP(J178, [1]Initiated!$A:$Y, 7, FALSE))</f>
        <v/>
      </c>
      <c r="Q178" s="6" t="str">
        <f>IF(OR(A178="", ISNUMBER(SEARCH("PFr", C178))), "", VLOOKUP(J178, [1]Initiated!$A:$Y, 8, 0))</f>
        <v/>
      </c>
      <c r="R178" s="5" t="str">
        <f t="shared" si="36"/>
        <v/>
      </c>
      <c r="S178" s="4" t="str">
        <f>IF(A178="","",VLOOKUP(J178,[1]Initiated!$A:$Y,3,FALSE))</f>
        <v/>
      </c>
      <c r="T178" s="4" t="str">
        <f t="shared" ca="1" si="37"/>
        <v/>
      </c>
      <c r="U178" s="5" t="str">
        <f t="shared" si="38"/>
        <v/>
      </c>
      <c r="V178" s="5" t="str">
        <f t="shared" si="39"/>
        <v/>
      </c>
      <c r="W178" s="4" t="str">
        <f>IF(A178="","",VLOOKUP(J178,[1]Initiated!$A:$Y,10,0))</f>
        <v/>
      </c>
      <c r="X178" s="5" t="str">
        <f t="shared" si="40"/>
        <v/>
      </c>
    </row>
    <row r="179" spans="1:24" x14ac:dyDescent="0.25">
      <c r="A179" s="6"/>
      <c r="B179" s="6" t="str">
        <f t="shared" si="30"/>
        <v/>
      </c>
      <c r="C179" s="6" t="str">
        <f t="shared" si="31"/>
        <v/>
      </c>
      <c r="D179" s="6"/>
      <c r="E179" s="6"/>
      <c r="F179" s="6"/>
      <c r="G179" s="6"/>
      <c r="H179" s="6" t="str">
        <f t="shared" si="32"/>
        <v/>
      </c>
      <c r="I179" s="6" t="str">
        <f t="shared" ca="1" si="33"/>
        <v/>
      </c>
      <c r="J179" s="3" t="str">
        <f t="shared" si="34"/>
        <v/>
      </c>
      <c r="K179" s="6" t="str">
        <f>IF(A179="","",VLOOKUP(J179,[1]Initiated!$A:$Y,2,0))</f>
        <v/>
      </c>
      <c r="L179" s="2" t="str">
        <f>IF(A179="","",VLOOKUP(J179,[1]Initiated!$A:$Y,5,FALSE))</f>
        <v/>
      </c>
      <c r="M179" s="6" t="str">
        <f>IF(A179="","",VLOOKUP(J179,[1]Initiated!$A:$Y,6,FALSE))</f>
        <v/>
      </c>
      <c r="N179" s="6" t="str">
        <f>IF(A179="","",VLOOKUP(J179,[1]Initiated!$A:$Y,9,FALSE))</f>
        <v/>
      </c>
      <c r="O179" s="3" t="str">
        <f t="shared" si="35"/>
        <v/>
      </c>
      <c r="P179" s="6" t="str">
        <f>IF(OR(A179="", ISNUMBER(SEARCH("PFr", C179))), "", VLOOKUP(J179, [1]Initiated!$A:$Y, 7, FALSE))</f>
        <v/>
      </c>
      <c r="Q179" s="6" t="str">
        <f>IF(OR(A179="", ISNUMBER(SEARCH("PFr", C179))), "", VLOOKUP(J179, [1]Initiated!$A:$Y, 8, 0))</f>
        <v/>
      </c>
      <c r="R179" s="5" t="str">
        <f t="shared" si="36"/>
        <v/>
      </c>
      <c r="S179" s="4" t="str">
        <f>IF(A179="","",VLOOKUP(J179,[1]Initiated!$A:$Y,3,FALSE))</f>
        <v/>
      </c>
      <c r="T179" s="4" t="str">
        <f t="shared" ca="1" si="37"/>
        <v/>
      </c>
      <c r="U179" s="5" t="str">
        <f t="shared" si="38"/>
        <v/>
      </c>
      <c r="V179" s="5" t="str">
        <f t="shared" si="39"/>
        <v/>
      </c>
      <c r="W179" s="4" t="str">
        <f>IF(A179="","",VLOOKUP(J179,[1]Initiated!$A:$Y,10,0))</f>
        <v/>
      </c>
      <c r="X179" s="5" t="str">
        <f t="shared" si="40"/>
        <v/>
      </c>
    </row>
    <row r="180" spans="1:24" x14ac:dyDescent="0.25">
      <c r="A180" s="6"/>
      <c r="B180" s="6" t="str">
        <f t="shared" si="30"/>
        <v/>
      </c>
      <c r="C180" s="6" t="str">
        <f t="shared" si="31"/>
        <v/>
      </c>
      <c r="D180" s="6"/>
      <c r="E180" s="6"/>
      <c r="F180" s="6"/>
      <c r="G180" s="6"/>
      <c r="H180" s="6" t="str">
        <f t="shared" si="32"/>
        <v/>
      </c>
      <c r="I180" s="6" t="str">
        <f t="shared" ca="1" si="33"/>
        <v/>
      </c>
      <c r="J180" s="3" t="str">
        <f t="shared" si="34"/>
        <v/>
      </c>
      <c r="K180" s="6" t="str">
        <f>IF(A180="","",VLOOKUP(J180,[1]Initiated!$A:$Y,2,0))</f>
        <v/>
      </c>
      <c r="L180" s="2" t="str">
        <f>IF(A180="","",VLOOKUP(J180,[1]Initiated!$A:$Y,5,FALSE))</f>
        <v/>
      </c>
      <c r="M180" s="6" t="str">
        <f>IF(A180="","",VLOOKUP(J180,[1]Initiated!$A:$Y,6,FALSE))</f>
        <v/>
      </c>
      <c r="N180" s="6" t="str">
        <f>IF(A180="","",VLOOKUP(J180,[1]Initiated!$A:$Y,9,FALSE))</f>
        <v/>
      </c>
      <c r="O180" s="3" t="str">
        <f t="shared" si="35"/>
        <v/>
      </c>
      <c r="P180" s="6" t="str">
        <f>IF(OR(A180="", ISNUMBER(SEARCH("PFr", C180))), "", VLOOKUP(J180, [1]Initiated!$A:$Y, 7, FALSE))</f>
        <v/>
      </c>
      <c r="Q180" s="6" t="str">
        <f>IF(OR(A180="", ISNUMBER(SEARCH("PFr", C180))), "", VLOOKUP(J180, [1]Initiated!$A:$Y, 8, 0))</f>
        <v/>
      </c>
      <c r="R180" s="5" t="str">
        <f t="shared" si="36"/>
        <v/>
      </c>
      <c r="S180" s="4" t="str">
        <f>IF(A180="","",VLOOKUP(J180,[1]Initiated!$A:$Y,3,FALSE))</f>
        <v/>
      </c>
      <c r="T180" s="4" t="str">
        <f t="shared" ca="1" si="37"/>
        <v/>
      </c>
      <c r="U180" s="5" t="str">
        <f t="shared" si="38"/>
        <v/>
      </c>
      <c r="V180" s="5" t="str">
        <f t="shared" si="39"/>
        <v/>
      </c>
      <c r="W180" s="4" t="str">
        <f>IF(A180="","",VLOOKUP(J180,[1]Initiated!$A:$Y,10,0))</f>
        <v/>
      </c>
      <c r="X180" s="5" t="str">
        <f t="shared" si="40"/>
        <v/>
      </c>
    </row>
    <row r="181" spans="1:24" x14ac:dyDescent="0.25">
      <c r="A181" s="6"/>
      <c r="B181" s="6" t="str">
        <f t="shared" si="30"/>
        <v/>
      </c>
      <c r="C181" s="6" t="str">
        <f t="shared" si="31"/>
        <v/>
      </c>
      <c r="D181" s="6"/>
      <c r="E181" s="6"/>
      <c r="F181" s="6"/>
      <c r="G181" s="6"/>
      <c r="H181" s="6" t="str">
        <f t="shared" si="32"/>
        <v/>
      </c>
      <c r="I181" s="6" t="str">
        <f t="shared" ca="1" si="33"/>
        <v/>
      </c>
      <c r="J181" s="3" t="str">
        <f t="shared" si="34"/>
        <v/>
      </c>
      <c r="K181" s="6" t="str">
        <f>IF(A181="","",VLOOKUP(J181,[1]Initiated!$A:$Y,2,0))</f>
        <v/>
      </c>
      <c r="L181" s="2" t="str">
        <f>IF(A181="","",VLOOKUP(J181,[1]Initiated!$A:$Y,5,FALSE))</f>
        <v/>
      </c>
      <c r="M181" s="6" t="str">
        <f>IF(A181="","",VLOOKUP(J181,[1]Initiated!$A:$Y,6,FALSE))</f>
        <v/>
      </c>
      <c r="N181" s="6" t="str">
        <f>IF(A181="","",VLOOKUP(J181,[1]Initiated!$A:$Y,9,FALSE))</f>
        <v/>
      </c>
      <c r="O181" s="3" t="str">
        <f t="shared" si="35"/>
        <v/>
      </c>
      <c r="P181" s="6" t="str">
        <f>IF(OR(A181="", ISNUMBER(SEARCH("PFr", C181))), "", VLOOKUP(J181, [1]Initiated!$A:$Y, 7, FALSE))</f>
        <v/>
      </c>
      <c r="Q181" s="6" t="str">
        <f>IF(OR(A181="", ISNUMBER(SEARCH("PFr", C181))), "", VLOOKUP(J181, [1]Initiated!$A:$Y, 8, 0))</f>
        <v/>
      </c>
      <c r="R181" s="5" t="str">
        <f t="shared" si="36"/>
        <v/>
      </c>
      <c r="S181" s="4" t="str">
        <f>IF(A181="","",VLOOKUP(J181,[1]Initiated!$A:$Y,3,FALSE))</f>
        <v/>
      </c>
      <c r="T181" s="4" t="str">
        <f t="shared" ca="1" si="37"/>
        <v/>
      </c>
      <c r="U181" s="5" t="str">
        <f t="shared" si="38"/>
        <v/>
      </c>
      <c r="V181" s="5" t="str">
        <f t="shared" si="39"/>
        <v/>
      </c>
      <c r="W181" s="4" t="str">
        <f>IF(A181="","",VLOOKUP(J181,[1]Initiated!$A:$Y,10,0))</f>
        <v/>
      </c>
      <c r="X181" s="5" t="str">
        <f t="shared" si="40"/>
        <v/>
      </c>
    </row>
    <row r="182" spans="1:24" x14ac:dyDescent="0.25">
      <c r="A182" s="6"/>
      <c r="B182" s="6" t="str">
        <f t="shared" si="30"/>
        <v/>
      </c>
      <c r="C182" s="6" t="str">
        <f t="shared" si="31"/>
        <v/>
      </c>
      <c r="D182" s="6"/>
      <c r="E182" s="6"/>
      <c r="F182" s="6"/>
      <c r="G182" s="6"/>
      <c r="H182" s="6" t="str">
        <f t="shared" si="32"/>
        <v/>
      </c>
      <c r="I182" s="6" t="str">
        <f t="shared" ca="1" si="33"/>
        <v/>
      </c>
      <c r="J182" s="3" t="str">
        <f t="shared" si="34"/>
        <v/>
      </c>
      <c r="K182" s="6" t="str">
        <f>IF(A182="","",VLOOKUP(J182,[1]Initiated!$A:$Y,2,0))</f>
        <v/>
      </c>
      <c r="L182" s="2" t="str">
        <f>IF(A182="","",VLOOKUP(J182,[1]Initiated!$A:$Y,5,FALSE))</f>
        <v/>
      </c>
      <c r="M182" s="6" t="str">
        <f>IF(A182="","",VLOOKUP(J182,[1]Initiated!$A:$Y,6,FALSE))</f>
        <v/>
      </c>
      <c r="N182" s="6" t="str">
        <f>IF(A182="","",VLOOKUP(J182,[1]Initiated!$A:$Y,9,FALSE))</f>
        <v/>
      </c>
      <c r="O182" s="3" t="str">
        <f t="shared" si="35"/>
        <v/>
      </c>
      <c r="P182" s="6" t="str">
        <f>IF(OR(A182="", ISNUMBER(SEARCH("PFr", C182))), "", VLOOKUP(J182, [1]Initiated!$A:$Y, 7, FALSE))</f>
        <v/>
      </c>
      <c r="Q182" s="6" t="str">
        <f>IF(OR(A182="", ISNUMBER(SEARCH("PFr", C182))), "", VLOOKUP(J182, [1]Initiated!$A:$Y, 8, 0))</f>
        <v/>
      </c>
      <c r="R182" s="5" t="str">
        <f t="shared" si="36"/>
        <v/>
      </c>
      <c r="S182" s="4" t="str">
        <f>IF(A182="","",VLOOKUP(J182,[1]Initiated!$A:$Y,3,FALSE))</f>
        <v/>
      </c>
      <c r="T182" s="4" t="str">
        <f t="shared" ca="1" si="37"/>
        <v/>
      </c>
      <c r="U182" s="5" t="str">
        <f t="shared" si="38"/>
        <v/>
      </c>
      <c r="V182" s="5" t="str">
        <f t="shared" si="39"/>
        <v/>
      </c>
      <c r="W182" s="4" t="str">
        <f>IF(A182="","",VLOOKUP(J182,[1]Initiated!$A:$Y,10,0))</f>
        <v/>
      </c>
      <c r="X182" s="5" t="str">
        <f t="shared" si="40"/>
        <v/>
      </c>
    </row>
    <row r="183" spans="1:24" x14ac:dyDescent="0.25">
      <c r="A183" s="6"/>
      <c r="B183" s="6" t="str">
        <f t="shared" si="30"/>
        <v/>
      </c>
      <c r="C183" s="6" t="str">
        <f t="shared" si="31"/>
        <v/>
      </c>
      <c r="D183" s="6"/>
      <c r="E183" s="6"/>
      <c r="F183" s="6"/>
      <c r="G183" s="6"/>
      <c r="H183" s="6" t="str">
        <f t="shared" si="32"/>
        <v/>
      </c>
      <c r="I183" s="6" t="str">
        <f t="shared" ca="1" si="33"/>
        <v/>
      </c>
      <c r="J183" s="3" t="str">
        <f t="shared" si="34"/>
        <v/>
      </c>
      <c r="K183" s="6" t="str">
        <f>IF(A183="","",VLOOKUP(J183,[1]Initiated!$A:$Y,2,0))</f>
        <v/>
      </c>
      <c r="L183" s="2" t="str">
        <f>IF(A183="","",VLOOKUP(J183,[1]Initiated!$A:$Y,5,FALSE))</f>
        <v/>
      </c>
      <c r="M183" s="6" t="str">
        <f>IF(A183="","",VLOOKUP(J183,[1]Initiated!$A:$Y,6,FALSE))</f>
        <v/>
      </c>
      <c r="N183" s="6" t="str">
        <f>IF(A183="","",VLOOKUP(J183,[1]Initiated!$A:$Y,9,FALSE))</f>
        <v/>
      </c>
      <c r="O183" s="3" t="str">
        <f t="shared" si="35"/>
        <v/>
      </c>
      <c r="P183" s="6" t="str">
        <f>IF(OR(A183="", ISNUMBER(SEARCH("PFr", C183))), "", VLOOKUP(J183, [1]Initiated!$A:$Y, 7, FALSE))</f>
        <v/>
      </c>
      <c r="Q183" s="6" t="str">
        <f>IF(OR(A183="", ISNUMBER(SEARCH("PFr", C183))), "", VLOOKUP(J183, [1]Initiated!$A:$Y, 8, 0))</f>
        <v/>
      </c>
      <c r="R183" s="5" t="str">
        <f t="shared" si="36"/>
        <v/>
      </c>
      <c r="S183" s="4" t="str">
        <f>IF(A183="","",VLOOKUP(J183,[1]Initiated!$A:$Y,3,FALSE))</f>
        <v/>
      </c>
      <c r="T183" s="4" t="str">
        <f t="shared" ca="1" si="37"/>
        <v/>
      </c>
      <c r="U183" s="5" t="str">
        <f t="shared" si="38"/>
        <v/>
      </c>
      <c r="V183" s="5" t="str">
        <f t="shared" si="39"/>
        <v/>
      </c>
      <c r="W183" s="4" t="str">
        <f>IF(A183="","",VLOOKUP(J183,[1]Initiated!$A:$Y,10,0))</f>
        <v/>
      </c>
      <c r="X183" s="5" t="str">
        <f t="shared" si="40"/>
        <v/>
      </c>
    </row>
    <row r="184" spans="1:24" x14ac:dyDescent="0.25">
      <c r="A184" s="6"/>
      <c r="B184" s="6" t="str">
        <f t="shared" si="30"/>
        <v/>
      </c>
      <c r="C184" s="6" t="str">
        <f t="shared" si="31"/>
        <v/>
      </c>
      <c r="D184" s="6"/>
      <c r="E184" s="6"/>
      <c r="F184" s="6"/>
      <c r="G184" s="6"/>
      <c r="H184" s="6" t="str">
        <f t="shared" si="32"/>
        <v/>
      </c>
      <c r="I184" s="6" t="str">
        <f t="shared" ca="1" si="33"/>
        <v/>
      </c>
      <c r="J184" s="3" t="str">
        <f t="shared" si="34"/>
        <v/>
      </c>
      <c r="K184" s="6" t="str">
        <f>IF(A184="","",VLOOKUP(J184,[1]Initiated!$A:$Y,2,0))</f>
        <v/>
      </c>
      <c r="L184" s="2" t="str">
        <f>IF(A184="","",VLOOKUP(J184,[1]Initiated!$A:$Y,5,FALSE))</f>
        <v/>
      </c>
      <c r="M184" s="6" t="str">
        <f>IF(A184="","",VLOOKUP(J184,[1]Initiated!$A:$Y,6,FALSE))</f>
        <v/>
      </c>
      <c r="N184" s="6" t="str">
        <f>IF(A184="","",VLOOKUP(J184,[1]Initiated!$A:$Y,9,FALSE))</f>
        <v/>
      </c>
      <c r="O184" s="3" t="str">
        <f t="shared" si="35"/>
        <v/>
      </c>
      <c r="P184" s="6" t="str">
        <f>IF(OR(A184="", ISNUMBER(SEARCH("PFr", C184))), "", VLOOKUP(J184, [1]Initiated!$A:$Y, 7, FALSE))</f>
        <v/>
      </c>
      <c r="Q184" s="6" t="str">
        <f>IF(OR(A184="", ISNUMBER(SEARCH("PFr", C184))), "", VLOOKUP(J184, [1]Initiated!$A:$Y, 8, 0))</f>
        <v/>
      </c>
      <c r="R184" s="5" t="str">
        <f t="shared" si="36"/>
        <v/>
      </c>
      <c r="S184" s="4" t="str">
        <f>IF(A184="","",VLOOKUP(J184,[1]Initiated!$A:$Y,3,FALSE))</f>
        <v/>
      </c>
      <c r="T184" s="4" t="str">
        <f t="shared" ca="1" si="37"/>
        <v/>
      </c>
      <c r="U184" s="5" t="str">
        <f t="shared" si="38"/>
        <v/>
      </c>
      <c r="V184" s="5" t="str">
        <f t="shared" si="39"/>
        <v/>
      </c>
      <c r="W184" s="4" t="str">
        <f>IF(A184="","",VLOOKUP(J184,[1]Initiated!$A:$Y,10,0))</f>
        <v/>
      </c>
      <c r="X184" s="5" t="str">
        <f t="shared" si="40"/>
        <v/>
      </c>
    </row>
    <row r="185" spans="1:24" x14ac:dyDescent="0.25">
      <c r="A185" s="6"/>
      <c r="B185" s="6" t="str">
        <f t="shared" si="30"/>
        <v/>
      </c>
      <c r="C185" s="6" t="str">
        <f t="shared" si="31"/>
        <v/>
      </c>
      <c r="D185" s="6"/>
      <c r="E185" s="6"/>
      <c r="F185" s="6"/>
      <c r="G185" s="6"/>
      <c r="H185" s="6" t="str">
        <f t="shared" si="32"/>
        <v/>
      </c>
      <c r="I185" s="6" t="str">
        <f t="shared" ca="1" si="33"/>
        <v/>
      </c>
      <c r="J185" s="3" t="str">
        <f t="shared" si="34"/>
        <v/>
      </c>
      <c r="K185" s="6" t="str">
        <f>IF(A185="","",VLOOKUP(J185,[1]Initiated!$A:$Y,2,0))</f>
        <v/>
      </c>
      <c r="L185" s="2" t="str">
        <f>IF(A185="","",VLOOKUP(J185,[1]Initiated!$A:$Y,5,FALSE))</f>
        <v/>
      </c>
      <c r="M185" s="6" t="str">
        <f>IF(A185="","",VLOOKUP(J185,[1]Initiated!$A:$Y,6,FALSE))</f>
        <v/>
      </c>
      <c r="N185" s="6" t="str">
        <f>IF(A185="","",VLOOKUP(J185,[1]Initiated!$A:$Y,9,FALSE))</f>
        <v/>
      </c>
      <c r="O185" s="3" t="str">
        <f t="shared" si="35"/>
        <v/>
      </c>
      <c r="P185" s="6" t="str">
        <f>IF(OR(A185="", ISNUMBER(SEARCH("PFr", C185))), "", VLOOKUP(J185, [1]Initiated!$A:$Y, 7, FALSE))</f>
        <v/>
      </c>
      <c r="Q185" s="6" t="str">
        <f>IF(OR(A185="", ISNUMBER(SEARCH("PFr", C185))), "", VLOOKUP(J185, [1]Initiated!$A:$Y, 8, 0))</f>
        <v/>
      </c>
      <c r="R185" s="5" t="str">
        <f t="shared" si="36"/>
        <v/>
      </c>
      <c r="S185" s="4" t="str">
        <f>IF(A185="","",VLOOKUP(J185,[1]Initiated!$A:$Y,3,FALSE))</f>
        <v/>
      </c>
      <c r="T185" s="4" t="str">
        <f t="shared" ca="1" si="37"/>
        <v/>
      </c>
      <c r="U185" s="5" t="str">
        <f t="shared" si="38"/>
        <v/>
      </c>
      <c r="V185" s="5" t="str">
        <f t="shared" si="39"/>
        <v/>
      </c>
      <c r="W185" s="4" t="str">
        <f>IF(A185="","",VLOOKUP(J185,[1]Initiated!$A:$Y,10,0))</f>
        <v/>
      </c>
      <c r="X185" s="5" t="str">
        <f t="shared" si="40"/>
        <v/>
      </c>
    </row>
    <row r="186" spans="1:24" x14ac:dyDescent="0.25">
      <c r="A186" s="6"/>
      <c r="B186" s="6" t="str">
        <f t="shared" si="30"/>
        <v/>
      </c>
      <c r="C186" s="6" t="str">
        <f t="shared" si="31"/>
        <v/>
      </c>
      <c r="D186" s="6"/>
      <c r="E186" s="6"/>
      <c r="F186" s="6"/>
      <c r="G186" s="6"/>
      <c r="H186" s="6" t="str">
        <f t="shared" si="32"/>
        <v/>
      </c>
      <c r="I186" s="6" t="str">
        <f t="shared" ca="1" si="33"/>
        <v/>
      </c>
      <c r="J186" s="3" t="str">
        <f t="shared" si="34"/>
        <v/>
      </c>
      <c r="K186" s="6" t="str">
        <f>IF(A186="","",VLOOKUP(J186,[1]Initiated!$A:$Y,2,0))</f>
        <v/>
      </c>
      <c r="L186" s="2" t="str">
        <f>IF(A186="","",VLOOKUP(J186,[1]Initiated!$A:$Y,5,FALSE))</f>
        <v/>
      </c>
      <c r="M186" s="6" t="str">
        <f>IF(A186="","",VLOOKUP(J186,[1]Initiated!$A:$Y,6,FALSE))</f>
        <v/>
      </c>
      <c r="N186" s="6" t="str">
        <f>IF(A186="","",VLOOKUP(J186,[1]Initiated!$A:$Y,9,FALSE))</f>
        <v/>
      </c>
      <c r="O186" s="3" t="str">
        <f t="shared" si="35"/>
        <v/>
      </c>
      <c r="P186" s="6" t="str">
        <f>IF(OR(A186="", ISNUMBER(SEARCH("PFr", C186))), "", VLOOKUP(J186, [1]Initiated!$A:$Y, 7, FALSE))</f>
        <v/>
      </c>
      <c r="Q186" s="6" t="str">
        <f>IF(OR(A186="", ISNUMBER(SEARCH("PFr", C186))), "", VLOOKUP(J186, [1]Initiated!$A:$Y, 8, 0))</f>
        <v/>
      </c>
      <c r="R186" s="5" t="str">
        <f t="shared" si="36"/>
        <v/>
      </c>
      <c r="S186" s="4" t="str">
        <f>IF(A186="","",VLOOKUP(J186,[1]Initiated!$A:$Y,3,FALSE))</f>
        <v/>
      </c>
      <c r="T186" s="4" t="str">
        <f t="shared" ca="1" si="37"/>
        <v/>
      </c>
      <c r="U186" s="5" t="str">
        <f t="shared" si="38"/>
        <v/>
      </c>
      <c r="V186" s="5" t="str">
        <f t="shared" si="39"/>
        <v/>
      </c>
      <c r="W186" s="4" t="str">
        <f>IF(A186="","",VLOOKUP(J186,[1]Initiated!$A:$Y,10,0))</f>
        <v/>
      </c>
      <c r="X186" s="5" t="str">
        <f t="shared" si="40"/>
        <v/>
      </c>
    </row>
    <row r="187" spans="1:24" x14ac:dyDescent="0.25">
      <c r="A187" s="6"/>
      <c r="B187" s="6" t="str">
        <f t="shared" si="30"/>
        <v/>
      </c>
      <c r="C187" s="6" t="str">
        <f t="shared" si="31"/>
        <v/>
      </c>
      <c r="D187" s="6"/>
      <c r="E187" s="6"/>
      <c r="F187" s="6"/>
      <c r="G187" s="6"/>
      <c r="H187" s="6" t="str">
        <f t="shared" si="32"/>
        <v/>
      </c>
      <c r="I187" s="6" t="str">
        <f t="shared" ca="1" si="33"/>
        <v/>
      </c>
      <c r="J187" s="3" t="str">
        <f t="shared" si="34"/>
        <v/>
      </c>
      <c r="K187" s="6" t="str">
        <f>IF(A187="","",VLOOKUP(J187,[1]Initiated!$A:$Y,2,0))</f>
        <v/>
      </c>
      <c r="L187" s="2" t="str">
        <f>IF(A187="","",VLOOKUP(J187,[1]Initiated!$A:$Y,5,FALSE))</f>
        <v/>
      </c>
      <c r="M187" s="6" t="str">
        <f>IF(A187="","",VLOOKUP(J187,[1]Initiated!$A:$Y,6,FALSE))</f>
        <v/>
      </c>
      <c r="N187" s="6" t="str">
        <f>IF(A187="","",VLOOKUP(J187,[1]Initiated!$A:$Y,9,FALSE))</f>
        <v/>
      </c>
      <c r="O187" s="3" t="str">
        <f t="shared" si="35"/>
        <v/>
      </c>
      <c r="P187" s="6" t="str">
        <f>IF(OR(A187="", ISNUMBER(SEARCH("PFr", C187))), "", VLOOKUP(J187, [1]Initiated!$A:$Y, 7, FALSE))</f>
        <v/>
      </c>
      <c r="Q187" s="6" t="str">
        <f>IF(OR(A187="", ISNUMBER(SEARCH("PFr", C187))), "", VLOOKUP(J187, [1]Initiated!$A:$Y, 8, 0))</f>
        <v/>
      </c>
      <c r="R187" s="5" t="str">
        <f t="shared" si="36"/>
        <v/>
      </c>
      <c r="S187" s="4" t="str">
        <f>IF(A187="","",VLOOKUP(J187,[1]Initiated!$A:$Y,3,FALSE))</f>
        <v/>
      </c>
      <c r="T187" s="4" t="str">
        <f t="shared" ca="1" si="37"/>
        <v/>
      </c>
      <c r="U187" s="5" t="str">
        <f t="shared" si="38"/>
        <v/>
      </c>
      <c r="V187" s="5" t="str">
        <f t="shared" si="39"/>
        <v/>
      </c>
      <c r="W187" s="4" t="str">
        <f>IF(A187="","",VLOOKUP(J187,[1]Initiated!$A:$Y,10,0))</f>
        <v/>
      </c>
      <c r="X187" s="5" t="str">
        <f t="shared" si="40"/>
        <v/>
      </c>
    </row>
    <row r="188" spans="1:24" x14ac:dyDescent="0.25">
      <c r="A188" s="6"/>
      <c r="B188" s="6" t="str">
        <f t="shared" si="30"/>
        <v/>
      </c>
      <c r="C188" s="6" t="str">
        <f t="shared" si="31"/>
        <v/>
      </c>
      <c r="D188" s="6"/>
      <c r="E188" s="6"/>
      <c r="F188" s="6"/>
      <c r="G188" s="6"/>
      <c r="H188" s="6" t="str">
        <f t="shared" si="32"/>
        <v/>
      </c>
      <c r="I188" s="6" t="str">
        <f t="shared" ca="1" si="33"/>
        <v/>
      </c>
      <c r="J188" s="3" t="str">
        <f t="shared" si="34"/>
        <v/>
      </c>
      <c r="K188" s="6" t="str">
        <f>IF(A188="","",VLOOKUP(J188,[1]Initiated!$A:$Y,2,0))</f>
        <v/>
      </c>
      <c r="L188" s="2" t="str">
        <f>IF(A188="","",VLOOKUP(J188,[1]Initiated!$A:$Y,5,FALSE))</f>
        <v/>
      </c>
      <c r="M188" s="6" t="str">
        <f>IF(A188="","",VLOOKUP(J188,[1]Initiated!$A:$Y,6,FALSE))</f>
        <v/>
      </c>
      <c r="N188" s="6" t="str">
        <f>IF(A188="","",VLOOKUP(J188,[1]Initiated!$A:$Y,9,FALSE))</f>
        <v/>
      </c>
      <c r="O188" s="3" t="str">
        <f t="shared" si="35"/>
        <v/>
      </c>
      <c r="P188" s="6" t="str">
        <f>IF(OR(A188="", ISNUMBER(SEARCH("PFr", C188))), "", VLOOKUP(J188, [1]Initiated!$A:$Y, 7, FALSE))</f>
        <v/>
      </c>
      <c r="Q188" s="6" t="str">
        <f>IF(OR(A188="", ISNUMBER(SEARCH("PFr", C188))), "", VLOOKUP(J188, [1]Initiated!$A:$Y, 8, 0))</f>
        <v/>
      </c>
      <c r="R188" s="5" t="str">
        <f t="shared" si="36"/>
        <v/>
      </c>
      <c r="S188" s="4" t="str">
        <f>IF(A188="","",VLOOKUP(J188,[1]Initiated!$A:$Y,3,FALSE))</f>
        <v/>
      </c>
      <c r="T188" s="4" t="str">
        <f t="shared" ca="1" si="37"/>
        <v/>
      </c>
      <c r="U188" s="5" t="str">
        <f t="shared" si="38"/>
        <v/>
      </c>
      <c r="V188" s="5" t="str">
        <f t="shared" si="39"/>
        <v/>
      </c>
      <c r="W188" s="4" t="str">
        <f>IF(A188="","",VLOOKUP(J188,[1]Initiated!$A:$Y,10,0))</f>
        <v/>
      </c>
      <c r="X188" s="5" t="str">
        <f t="shared" si="40"/>
        <v/>
      </c>
    </row>
    <row r="189" spans="1:24" x14ac:dyDescent="0.25">
      <c r="A189" s="6"/>
      <c r="B189" s="6" t="str">
        <f t="shared" si="30"/>
        <v/>
      </c>
      <c r="C189" s="6" t="str">
        <f t="shared" si="31"/>
        <v/>
      </c>
      <c r="D189" s="6"/>
      <c r="E189" s="6"/>
      <c r="F189" s="6"/>
      <c r="G189" s="6"/>
      <c r="H189" s="6" t="str">
        <f t="shared" si="32"/>
        <v/>
      </c>
      <c r="I189" s="6" t="str">
        <f t="shared" ca="1" si="33"/>
        <v/>
      </c>
      <c r="J189" s="3" t="str">
        <f t="shared" si="34"/>
        <v/>
      </c>
      <c r="K189" s="6" t="str">
        <f>IF(A189="","",VLOOKUP(J189,[1]Initiated!$A:$Y,2,0))</f>
        <v/>
      </c>
      <c r="L189" s="2" t="str">
        <f>IF(A189="","",VLOOKUP(J189,[1]Initiated!$A:$Y,5,FALSE))</f>
        <v/>
      </c>
      <c r="M189" s="6" t="str">
        <f>IF(A189="","",VLOOKUP(J189,[1]Initiated!$A:$Y,6,FALSE))</f>
        <v/>
      </c>
      <c r="N189" s="6" t="str">
        <f>IF(A189="","",VLOOKUP(J189,[1]Initiated!$A:$Y,9,FALSE))</f>
        <v/>
      </c>
      <c r="O189" s="3" t="str">
        <f t="shared" si="35"/>
        <v/>
      </c>
      <c r="P189" s="6" t="str">
        <f>IF(OR(A189="", ISNUMBER(SEARCH("PFr", C189))), "", VLOOKUP(J189, [1]Initiated!$A:$Y, 7, FALSE))</f>
        <v/>
      </c>
      <c r="Q189" s="6" t="str">
        <f>IF(OR(A189="", ISNUMBER(SEARCH("PFr", C189))), "", VLOOKUP(J189, [1]Initiated!$A:$Y, 8, 0))</f>
        <v/>
      </c>
      <c r="R189" s="5" t="str">
        <f t="shared" si="36"/>
        <v/>
      </c>
      <c r="S189" s="4" t="str">
        <f>IF(A189="","",VLOOKUP(J189,[1]Initiated!$A:$Y,3,FALSE))</f>
        <v/>
      </c>
      <c r="T189" s="4" t="str">
        <f t="shared" ca="1" si="37"/>
        <v/>
      </c>
      <c r="U189" s="5" t="str">
        <f t="shared" si="38"/>
        <v/>
      </c>
      <c r="V189" s="5" t="str">
        <f t="shared" si="39"/>
        <v/>
      </c>
      <c r="W189" s="4" t="str">
        <f>IF(A189="","",VLOOKUP(J189,[1]Initiated!$A:$Y,10,0))</f>
        <v/>
      </c>
      <c r="X189" s="5" t="str">
        <f t="shared" si="40"/>
        <v/>
      </c>
    </row>
    <row r="190" spans="1:24" x14ac:dyDescent="0.25">
      <c r="A190" s="6"/>
      <c r="B190" s="6" t="str">
        <f t="shared" si="30"/>
        <v/>
      </c>
      <c r="C190" s="6" t="str">
        <f t="shared" si="31"/>
        <v/>
      </c>
      <c r="D190" s="6"/>
      <c r="E190" s="6"/>
      <c r="F190" s="6"/>
      <c r="G190" s="6"/>
      <c r="H190" s="6" t="str">
        <f t="shared" si="32"/>
        <v/>
      </c>
      <c r="I190" s="6" t="str">
        <f t="shared" ca="1" si="33"/>
        <v/>
      </c>
      <c r="J190" s="3" t="str">
        <f t="shared" si="34"/>
        <v/>
      </c>
      <c r="K190" s="6" t="str">
        <f>IF(A190="","",VLOOKUP(J190,[1]Initiated!$A:$Y,2,0))</f>
        <v/>
      </c>
      <c r="L190" s="2" t="str">
        <f>IF(A190="","",VLOOKUP(J190,[1]Initiated!$A:$Y,5,FALSE))</f>
        <v/>
      </c>
      <c r="M190" s="6" t="str">
        <f>IF(A190="","",VLOOKUP(J190,[1]Initiated!$A:$Y,6,FALSE))</f>
        <v/>
      </c>
      <c r="N190" s="6" t="str">
        <f>IF(A190="","",VLOOKUP(J190,[1]Initiated!$A:$Y,9,FALSE))</f>
        <v/>
      </c>
      <c r="O190" s="3" t="str">
        <f t="shared" si="35"/>
        <v/>
      </c>
      <c r="P190" s="6" t="str">
        <f>IF(OR(A190="", ISNUMBER(SEARCH("PFr", C190))), "", VLOOKUP(J190, [1]Initiated!$A:$Y, 7, FALSE))</f>
        <v/>
      </c>
      <c r="Q190" s="6" t="str">
        <f>IF(OR(A190="", ISNUMBER(SEARCH("PFr", C190))), "", VLOOKUP(J190, [1]Initiated!$A:$Y, 8, 0))</f>
        <v/>
      </c>
      <c r="R190" s="5" t="str">
        <f t="shared" si="36"/>
        <v/>
      </c>
      <c r="S190" s="4" t="str">
        <f>IF(A190="","",VLOOKUP(J190,[1]Initiated!$A:$Y,3,FALSE))</f>
        <v/>
      </c>
      <c r="T190" s="4" t="str">
        <f t="shared" ca="1" si="37"/>
        <v/>
      </c>
      <c r="U190" s="5" t="str">
        <f t="shared" si="38"/>
        <v/>
      </c>
      <c r="V190" s="5" t="str">
        <f t="shared" si="39"/>
        <v/>
      </c>
      <c r="W190" s="4" t="str">
        <f>IF(A190="","",VLOOKUP(J190,[1]Initiated!$A:$Y,10,0))</f>
        <v/>
      </c>
      <c r="X190" s="5" t="str">
        <f t="shared" si="40"/>
        <v/>
      </c>
    </row>
    <row r="191" spans="1:24" x14ac:dyDescent="0.25">
      <c r="A191" s="6"/>
      <c r="B191" s="6" t="str">
        <f t="shared" si="30"/>
        <v/>
      </c>
      <c r="C191" s="6" t="str">
        <f t="shared" si="31"/>
        <v/>
      </c>
      <c r="D191" s="6"/>
      <c r="E191" s="6"/>
      <c r="F191" s="6"/>
      <c r="G191" s="6"/>
      <c r="H191" s="6" t="str">
        <f t="shared" si="32"/>
        <v/>
      </c>
      <c r="I191" s="6" t="str">
        <f t="shared" ca="1" si="33"/>
        <v/>
      </c>
      <c r="J191" s="3" t="str">
        <f t="shared" si="34"/>
        <v/>
      </c>
      <c r="K191" s="6" t="str">
        <f>IF(A191="","",VLOOKUP(J191,[1]Initiated!$A:$Y,2,0))</f>
        <v/>
      </c>
      <c r="L191" s="2" t="str">
        <f>IF(A191="","",VLOOKUP(J191,[1]Initiated!$A:$Y,5,FALSE))</f>
        <v/>
      </c>
      <c r="M191" s="6" t="str">
        <f>IF(A191="","",VLOOKUP(J191,[1]Initiated!$A:$Y,6,FALSE))</f>
        <v/>
      </c>
      <c r="N191" s="6" t="str">
        <f>IF(A191="","",VLOOKUP(J191,[1]Initiated!$A:$Y,9,FALSE))</f>
        <v/>
      </c>
      <c r="O191" s="3" t="str">
        <f t="shared" si="35"/>
        <v/>
      </c>
      <c r="P191" s="6" t="str">
        <f>IF(OR(A191="", ISNUMBER(SEARCH("PFr", C191))), "", VLOOKUP(J191, [1]Initiated!$A:$Y, 7, FALSE))</f>
        <v/>
      </c>
      <c r="Q191" s="6" t="str">
        <f>IF(OR(A191="", ISNUMBER(SEARCH("PFr", C191))), "", VLOOKUP(J191, [1]Initiated!$A:$Y, 8, 0))</f>
        <v/>
      </c>
      <c r="R191" s="5" t="str">
        <f t="shared" si="36"/>
        <v/>
      </c>
      <c r="S191" s="4" t="str">
        <f>IF(A191="","",VLOOKUP(J191,[1]Initiated!$A:$Y,3,FALSE))</f>
        <v/>
      </c>
      <c r="T191" s="4" t="str">
        <f t="shared" ca="1" si="37"/>
        <v/>
      </c>
      <c r="U191" s="5" t="str">
        <f t="shared" si="38"/>
        <v/>
      </c>
      <c r="V191" s="5" t="str">
        <f t="shared" si="39"/>
        <v/>
      </c>
      <c r="W191" s="4" t="str">
        <f>IF(A191="","",VLOOKUP(J191,[1]Initiated!$A:$Y,10,0))</f>
        <v/>
      </c>
      <c r="X191" s="5" t="str">
        <f t="shared" si="40"/>
        <v/>
      </c>
    </row>
    <row r="192" spans="1:24" x14ac:dyDescent="0.25">
      <c r="A192" s="6"/>
      <c r="B192" s="6" t="str">
        <f t="shared" si="30"/>
        <v/>
      </c>
      <c r="C192" s="6" t="str">
        <f t="shared" si="31"/>
        <v/>
      </c>
      <c r="D192" s="6"/>
      <c r="E192" s="6"/>
      <c r="F192" s="6"/>
      <c r="G192" s="6"/>
      <c r="H192" s="6" t="str">
        <f t="shared" si="32"/>
        <v/>
      </c>
      <c r="I192" s="6" t="str">
        <f t="shared" ca="1" si="33"/>
        <v/>
      </c>
      <c r="J192" s="3" t="str">
        <f t="shared" si="34"/>
        <v/>
      </c>
      <c r="K192" s="6" t="str">
        <f>IF(A192="","",VLOOKUP(J192,[1]Initiated!$A:$Y,2,0))</f>
        <v/>
      </c>
      <c r="L192" s="2" t="str">
        <f>IF(A192="","",VLOOKUP(J192,[1]Initiated!$A:$Y,5,FALSE))</f>
        <v/>
      </c>
      <c r="M192" s="6" t="str">
        <f>IF(A192="","",VLOOKUP(J192,[1]Initiated!$A:$Y,6,FALSE))</f>
        <v/>
      </c>
      <c r="N192" s="6" t="str">
        <f>IF(A192="","",VLOOKUP(J192,[1]Initiated!$A:$Y,9,FALSE))</f>
        <v/>
      </c>
      <c r="O192" s="3" t="str">
        <f t="shared" si="35"/>
        <v/>
      </c>
      <c r="P192" s="6" t="str">
        <f>IF(OR(A192="", ISNUMBER(SEARCH("PFr", C192))), "", VLOOKUP(J192, [1]Initiated!$A:$Y, 7, FALSE))</f>
        <v/>
      </c>
      <c r="Q192" s="6" t="str">
        <f>IF(OR(A192="", ISNUMBER(SEARCH("PFr", C192))), "", VLOOKUP(J192, [1]Initiated!$A:$Y, 8, 0))</f>
        <v/>
      </c>
      <c r="R192" s="5" t="str">
        <f t="shared" si="36"/>
        <v/>
      </c>
      <c r="S192" s="4" t="str">
        <f>IF(A192="","",VLOOKUP(J192,[1]Initiated!$A:$Y,3,FALSE))</f>
        <v/>
      </c>
      <c r="T192" s="4" t="str">
        <f t="shared" ca="1" si="37"/>
        <v/>
      </c>
      <c r="U192" s="5" t="str">
        <f t="shared" si="38"/>
        <v/>
      </c>
      <c r="V192" s="5" t="str">
        <f t="shared" si="39"/>
        <v/>
      </c>
      <c r="W192" s="4" t="str">
        <f>IF(A192="","",VLOOKUP(J192,[1]Initiated!$A:$Y,10,0))</f>
        <v/>
      </c>
      <c r="X192" s="5" t="str">
        <f t="shared" si="40"/>
        <v/>
      </c>
    </row>
    <row r="193" spans="1:24" x14ac:dyDescent="0.25">
      <c r="A193" s="6"/>
      <c r="B193" s="6" t="str">
        <f t="shared" si="30"/>
        <v/>
      </c>
      <c r="C193" s="6" t="str">
        <f t="shared" si="31"/>
        <v/>
      </c>
      <c r="D193" s="6"/>
      <c r="E193" s="6"/>
      <c r="F193" s="6"/>
      <c r="G193" s="6"/>
      <c r="H193" s="6" t="str">
        <f t="shared" si="32"/>
        <v/>
      </c>
      <c r="I193" s="6" t="str">
        <f t="shared" ca="1" si="33"/>
        <v/>
      </c>
      <c r="J193" s="3" t="str">
        <f t="shared" si="34"/>
        <v/>
      </c>
      <c r="K193" s="6" t="str">
        <f>IF(A193="","",VLOOKUP(J193,[1]Initiated!$A:$Y,2,0))</f>
        <v/>
      </c>
      <c r="L193" s="2" t="str">
        <f>IF(A193="","",VLOOKUP(J193,[1]Initiated!$A:$Y,5,FALSE))</f>
        <v/>
      </c>
      <c r="M193" s="6" t="str">
        <f>IF(A193="","",VLOOKUP(J193,[1]Initiated!$A:$Y,6,FALSE))</f>
        <v/>
      </c>
      <c r="N193" s="6" t="str">
        <f>IF(A193="","",VLOOKUP(J193,[1]Initiated!$A:$Y,9,FALSE))</f>
        <v/>
      </c>
      <c r="O193" s="3" t="str">
        <f t="shared" si="35"/>
        <v/>
      </c>
      <c r="P193" s="6" t="str">
        <f>IF(OR(A193="", ISNUMBER(SEARCH("PFr", C193))), "", VLOOKUP(J193, [1]Initiated!$A:$Y, 7, FALSE))</f>
        <v/>
      </c>
      <c r="Q193" s="6" t="str">
        <f>IF(OR(A193="", ISNUMBER(SEARCH("PFr", C193))), "", VLOOKUP(J193, [1]Initiated!$A:$Y, 8, 0))</f>
        <v/>
      </c>
      <c r="R193" s="5" t="str">
        <f t="shared" si="36"/>
        <v/>
      </c>
      <c r="S193" s="4" t="str">
        <f>IF(A193="","",VLOOKUP(J193,[1]Initiated!$A:$Y,3,FALSE))</f>
        <v/>
      </c>
      <c r="T193" s="4" t="str">
        <f t="shared" ca="1" si="37"/>
        <v/>
      </c>
      <c r="U193" s="5" t="str">
        <f t="shared" si="38"/>
        <v/>
      </c>
      <c r="V193" s="5" t="str">
        <f t="shared" si="39"/>
        <v/>
      </c>
      <c r="W193" s="4" t="str">
        <f>IF(A193="","",VLOOKUP(J193,[1]Initiated!$A:$Y,10,0))</f>
        <v/>
      </c>
      <c r="X193" s="5" t="str">
        <f t="shared" si="40"/>
        <v/>
      </c>
    </row>
    <row r="194" spans="1:24" x14ac:dyDescent="0.25">
      <c r="A194" s="6"/>
      <c r="B194" s="6" t="str">
        <f t="shared" si="30"/>
        <v/>
      </c>
      <c r="C194" s="6" t="str">
        <f t="shared" si="31"/>
        <v/>
      </c>
      <c r="D194" s="6"/>
      <c r="E194" s="6"/>
      <c r="F194" s="6"/>
      <c r="G194" s="6"/>
      <c r="H194" s="6" t="str">
        <f t="shared" si="32"/>
        <v/>
      </c>
      <c r="I194" s="6" t="str">
        <f t="shared" ca="1" si="33"/>
        <v/>
      </c>
      <c r="J194" s="3" t="str">
        <f t="shared" si="34"/>
        <v/>
      </c>
      <c r="K194" s="6" t="str">
        <f>IF(A194="","",VLOOKUP(J194,[1]Initiated!$A:$Y,2,0))</f>
        <v/>
      </c>
      <c r="L194" s="2" t="str">
        <f>IF(A194="","",VLOOKUP(J194,[1]Initiated!$A:$Y,5,FALSE))</f>
        <v/>
      </c>
      <c r="M194" s="6" t="str">
        <f>IF(A194="","",VLOOKUP(J194,[1]Initiated!$A:$Y,6,FALSE))</f>
        <v/>
      </c>
      <c r="N194" s="6" t="str">
        <f>IF(A194="","",VLOOKUP(J194,[1]Initiated!$A:$Y,9,FALSE))</f>
        <v/>
      </c>
      <c r="O194" s="3" t="str">
        <f t="shared" si="35"/>
        <v/>
      </c>
      <c r="P194" s="6" t="str">
        <f>IF(OR(A194="", ISNUMBER(SEARCH("PFr", C194))), "", VLOOKUP(J194, [1]Initiated!$A:$Y, 7, FALSE))</f>
        <v/>
      </c>
      <c r="Q194" s="6" t="str">
        <f>IF(OR(A194="", ISNUMBER(SEARCH("PFr", C194))), "", VLOOKUP(J194, [1]Initiated!$A:$Y, 8, 0))</f>
        <v/>
      </c>
      <c r="R194" s="5" t="str">
        <f t="shared" si="36"/>
        <v/>
      </c>
      <c r="S194" s="4" t="str">
        <f>IF(A194="","",VLOOKUP(J194,[1]Initiated!$A:$Y,3,FALSE))</f>
        <v/>
      </c>
      <c r="T194" s="4" t="str">
        <f t="shared" ca="1" si="37"/>
        <v/>
      </c>
      <c r="U194" s="5" t="str">
        <f t="shared" si="38"/>
        <v/>
      </c>
      <c r="V194" s="5" t="str">
        <f t="shared" si="39"/>
        <v/>
      </c>
      <c r="W194" s="4" t="str">
        <f>IF(A194="","",VLOOKUP(J194,[1]Initiated!$A:$Y,10,0))</f>
        <v/>
      </c>
      <c r="X194" s="5" t="str">
        <f t="shared" si="40"/>
        <v/>
      </c>
    </row>
    <row r="195" spans="1:24" x14ac:dyDescent="0.25">
      <c r="A195" s="6"/>
      <c r="B195" s="6" t="str">
        <f t="shared" ref="B195:B258" si="41">IF(A195="","",LEFT(A195,FIND(".",A195)-1))</f>
        <v/>
      </c>
      <c r="C195" s="6" t="str">
        <f t="shared" ref="C195:C258" si="42">IF(A195="","",IF(ISNUMBER(FIND(".",A195,FIND(".",A195)+1)),MID(A195,FIND(".",A195)+1,FIND(".",A195,FIND(".",A195)+1)-FIND(".",A195)-1),MID(A195,FIND(".",A195)+1,LEN(A195)-FIND(".",A195))))</f>
        <v/>
      </c>
      <c r="D195" s="6"/>
      <c r="E195" s="6"/>
      <c r="F195" s="6"/>
      <c r="G195" s="6"/>
      <c r="H195" s="6" t="str">
        <f t="shared" ref="H195:H258" si="43">IF(A195="","","*SS OK Only")</f>
        <v/>
      </c>
      <c r="I195" s="6" t="str">
        <f t="shared" ref="I195:I258" ca="1" si="44">IF(A195="","",B195&amp;" "&amp;K195&amp;" in "&amp;M195&amp;" "&amp;TEXT(TODAY(),"yyyy-mm-dd")&amp;" "&amp;C195)</f>
        <v/>
      </c>
      <c r="J195" s="3" t="str">
        <f t="shared" ref="J195:J258" si="45">IF(A195="","",B195)</f>
        <v/>
      </c>
      <c r="K195" s="6" t="str">
        <f>IF(A195="","",VLOOKUP(J195,[1]Initiated!$A:$Y,2,0))</f>
        <v/>
      </c>
      <c r="L195" s="2" t="str">
        <f>IF(A195="","",VLOOKUP(J195,[1]Initiated!$A:$Y,5,FALSE))</f>
        <v/>
      </c>
      <c r="M195" s="6" t="str">
        <f>IF(A195="","",VLOOKUP(J195,[1]Initiated!$A:$Y,6,FALSE))</f>
        <v/>
      </c>
      <c r="N195" s="6" t="str">
        <f>IF(A195="","",VLOOKUP(J195,[1]Initiated!$A:$Y,9,FALSE))</f>
        <v/>
      </c>
      <c r="O195" s="3" t="str">
        <f t="shared" ref="O195:O258" si="46">IF(A195="","",C195)</f>
        <v/>
      </c>
      <c r="P195" s="6" t="str">
        <f>IF(OR(A195="", ISNUMBER(SEARCH("PFr", C195))), "", VLOOKUP(J195, [1]Initiated!$A:$Y, 7, FALSE))</f>
        <v/>
      </c>
      <c r="Q195" s="6" t="str">
        <f>IF(OR(A195="", ISNUMBER(SEARCH("PFr", C195))), "", VLOOKUP(J195, [1]Initiated!$A:$Y, 8, 0))</f>
        <v/>
      </c>
      <c r="R195" s="5" t="str">
        <f t="shared" ref="R195:R258" si="47">IF(OR(C195="", ISNUMBER(SEARCH("PFr", C195))), "", IF(ISNUMBER(SEARCH("16C", C195)), "16°C", IF(ISNUMBER(SEARCH("22C", C195)), "22°C", IF(ISNUMBER(SEARCH("25C", C195)), "25°C", IF(ISNUMBER(SEARCH("30C", C195)), "30°C", "37°C")))))</f>
        <v/>
      </c>
      <c r="S195" s="4" t="str">
        <f>IF(A195="","",VLOOKUP(J195,[1]Initiated!$A:$Y,3,FALSE))</f>
        <v/>
      </c>
      <c r="T195" s="4" t="str">
        <f t="shared" ref="T195:T258" ca="1" si="48">IF(A195="","",TODAY())</f>
        <v/>
      </c>
      <c r="U195" s="5" t="str">
        <f t="shared" ref="U195:U258" si="49">IF(A195="","","-20°C")</f>
        <v/>
      </c>
      <c r="V195" s="5" t="str">
        <f t="shared" ref="V195:V258" si="50">IF(OR(C195="", ISNUMBER(SEARCH("PFr", C195))), "", IF(ISNUMBER(SEARCH("Stbl", C195)), "Stable", "Top10"))</f>
        <v/>
      </c>
      <c r="W195" s="4" t="str">
        <f>IF(A195="","",VLOOKUP(J195,[1]Initiated!$A:$Y,10,0))</f>
        <v/>
      </c>
      <c r="X195" s="5" t="str">
        <f t="shared" ref="X195:X258" si="51">IF(OR(A195="", ISNUMBER(SEARCH("PFr", C195))), "", "E. coli")</f>
        <v/>
      </c>
    </row>
    <row r="196" spans="1:24" x14ac:dyDescent="0.25">
      <c r="A196" s="6"/>
      <c r="B196" s="6" t="str">
        <f t="shared" si="41"/>
        <v/>
      </c>
      <c r="C196" s="6" t="str">
        <f t="shared" si="42"/>
        <v/>
      </c>
      <c r="D196" s="6"/>
      <c r="E196" s="6"/>
      <c r="F196" s="6"/>
      <c r="G196" s="6"/>
      <c r="H196" s="6" t="str">
        <f t="shared" si="43"/>
        <v/>
      </c>
      <c r="I196" s="6" t="str">
        <f t="shared" ca="1" si="44"/>
        <v/>
      </c>
      <c r="J196" s="3" t="str">
        <f t="shared" si="45"/>
        <v/>
      </c>
      <c r="K196" s="6" t="str">
        <f>IF(A196="","",VLOOKUP(J196,[1]Initiated!$A:$Y,2,0))</f>
        <v/>
      </c>
      <c r="L196" s="2" t="str">
        <f>IF(A196="","",VLOOKUP(J196,[1]Initiated!$A:$Y,5,FALSE))</f>
        <v/>
      </c>
      <c r="M196" s="6" t="str">
        <f>IF(A196="","",VLOOKUP(J196,[1]Initiated!$A:$Y,6,FALSE))</f>
        <v/>
      </c>
      <c r="N196" s="6" t="str">
        <f>IF(A196="","",VLOOKUP(J196,[1]Initiated!$A:$Y,9,FALSE))</f>
        <v/>
      </c>
      <c r="O196" s="3" t="str">
        <f t="shared" si="46"/>
        <v/>
      </c>
      <c r="P196" s="6" t="str">
        <f>IF(OR(A196="", ISNUMBER(SEARCH("PFr", C196))), "", VLOOKUP(J196, [1]Initiated!$A:$Y, 7, FALSE))</f>
        <v/>
      </c>
      <c r="Q196" s="6" t="str">
        <f>IF(OR(A196="", ISNUMBER(SEARCH("PFr", C196))), "", VLOOKUP(J196, [1]Initiated!$A:$Y, 8, 0))</f>
        <v/>
      </c>
      <c r="R196" s="5" t="str">
        <f t="shared" si="47"/>
        <v/>
      </c>
      <c r="S196" s="4" t="str">
        <f>IF(A196="","",VLOOKUP(J196,[1]Initiated!$A:$Y,3,FALSE))</f>
        <v/>
      </c>
      <c r="T196" s="4" t="str">
        <f t="shared" ca="1" si="48"/>
        <v/>
      </c>
      <c r="U196" s="5" t="str">
        <f t="shared" si="49"/>
        <v/>
      </c>
      <c r="V196" s="5" t="str">
        <f t="shared" si="50"/>
        <v/>
      </c>
      <c r="W196" s="4" t="str">
        <f>IF(A196="","",VLOOKUP(J196,[1]Initiated!$A:$Y,10,0))</f>
        <v/>
      </c>
      <c r="X196" s="5" t="str">
        <f t="shared" si="51"/>
        <v/>
      </c>
    </row>
    <row r="197" spans="1:24" x14ac:dyDescent="0.25">
      <c r="A197" s="6"/>
      <c r="B197" s="6" t="str">
        <f t="shared" si="41"/>
        <v/>
      </c>
      <c r="C197" s="6" t="str">
        <f t="shared" si="42"/>
        <v/>
      </c>
      <c r="D197" s="6"/>
      <c r="E197" s="6"/>
      <c r="F197" s="6"/>
      <c r="G197" s="6"/>
      <c r="H197" s="6" t="str">
        <f t="shared" si="43"/>
        <v/>
      </c>
      <c r="I197" s="6" t="str">
        <f t="shared" ca="1" si="44"/>
        <v/>
      </c>
      <c r="J197" s="3" t="str">
        <f t="shared" si="45"/>
        <v/>
      </c>
      <c r="K197" s="6" t="str">
        <f>IF(A197="","",VLOOKUP(J197,[1]Initiated!$A:$Y,2,0))</f>
        <v/>
      </c>
      <c r="L197" s="2" t="str">
        <f>IF(A197="","",VLOOKUP(J197,[1]Initiated!$A:$Y,5,FALSE))</f>
        <v/>
      </c>
      <c r="M197" s="6" t="str">
        <f>IF(A197="","",VLOOKUP(J197,[1]Initiated!$A:$Y,6,FALSE))</f>
        <v/>
      </c>
      <c r="N197" s="6" t="str">
        <f>IF(A197="","",VLOOKUP(J197,[1]Initiated!$A:$Y,9,FALSE))</f>
        <v/>
      </c>
      <c r="O197" s="3" t="str">
        <f t="shared" si="46"/>
        <v/>
      </c>
      <c r="P197" s="6" t="str">
        <f>IF(OR(A197="", ISNUMBER(SEARCH("PFr", C197))), "", VLOOKUP(J197, [1]Initiated!$A:$Y, 7, FALSE))</f>
        <v/>
      </c>
      <c r="Q197" s="6" t="str">
        <f>IF(OR(A197="", ISNUMBER(SEARCH("PFr", C197))), "", VLOOKUP(J197, [1]Initiated!$A:$Y, 8, 0))</f>
        <v/>
      </c>
      <c r="R197" s="5" t="str">
        <f t="shared" si="47"/>
        <v/>
      </c>
      <c r="S197" s="4" t="str">
        <f>IF(A197="","",VLOOKUP(J197,[1]Initiated!$A:$Y,3,FALSE))</f>
        <v/>
      </c>
      <c r="T197" s="4" t="str">
        <f t="shared" ca="1" si="48"/>
        <v/>
      </c>
      <c r="U197" s="5" t="str">
        <f t="shared" si="49"/>
        <v/>
      </c>
      <c r="V197" s="5" t="str">
        <f t="shared" si="50"/>
        <v/>
      </c>
      <c r="W197" s="4" t="str">
        <f>IF(A197="","",VLOOKUP(J197,[1]Initiated!$A:$Y,10,0))</f>
        <v/>
      </c>
      <c r="X197" s="5" t="str">
        <f t="shared" si="51"/>
        <v/>
      </c>
    </row>
    <row r="198" spans="1:24" x14ac:dyDescent="0.25">
      <c r="A198" s="6"/>
      <c r="B198" s="6" t="str">
        <f t="shared" si="41"/>
        <v/>
      </c>
      <c r="C198" s="6" t="str">
        <f t="shared" si="42"/>
        <v/>
      </c>
      <c r="D198" s="6"/>
      <c r="E198" s="6"/>
      <c r="F198" s="6"/>
      <c r="G198" s="6"/>
      <c r="H198" s="6" t="str">
        <f t="shared" si="43"/>
        <v/>
      </c>
      <c r="I198" s="6" t="str">
        <f t="shared" ca="1" si="44"/>
        <v/>
      </c>
      <c r="J198" s="3" t="str">
        <f t="shared" si="45"/>
        <v/>
      </c>
      <c r="K198" s="6" t="str">
        <f>IF(A198="","",VLOOKUP(J198,[1]Initiated!$A:$Y,2,0))</f>
        <v/>
      </c>
      <c r="L198" s="2" t="str">
        <f>IF(A198="","",VLOOKUP(J198,[1]Initiated!$A:$Y,5,FALSE))</f>
        <v/>
      </c>
      <c r="M198" s="6" t="str">
        <f>IF(A198="","",VLOOKUP(J198,[1]Initiated!$A:$Y,6,FALSE))</f>
        <v/>
      </c>
      <c r="N198" s="6" t="str">
        <f>IF(A198="","",VLOOKUP(J198,[1]Initiated!$A:$Y,9,FALSE))</f>
        <v/>
      </c>
      <c r="O198" s="3" t="str">
        <f t="shared" si="46"/>
        <v/>
      </c>
      <c r="P198" s="6" t="str">
        <f>IF(OR(A198="", ISNUMBER(SEARCH("PFr", C198))), "", VLOOKUP(J198, [1]Initiated!$A:$Y, 7, FALSE))</f>
        <v/>
      </c>
      <c r="Q198" s="6" t="str">
        <f>IF(OR(A198="", ISNUMBER(SEARCH("PFr", C198))), "", VLOOKUP(J198, [1]Initiated!$A:$Y, 8, 0))</f>
        <v/>
      </c>
      <c r="R198" s="5" t="str">
        <f t="shared" si="47"/>
        <v/>
      </c>
      <c r="S198" s="4" t="str">
        <f>IF(A198="","",VLOOKUP(J198,[1]Initiated!$A:$Y,3,FALSE))</f>
        <v/>
      </c>
      <c r="T198" s="4" t="str">
        <f t="shared" ca="1" si="48"/>
        <v/>
      </c>
      <c r="U198" s="5" t="str">
        <f t="shared" si="49"/>
        <v/>
      </c>
      <c r="V198" s="5" t="str">
        <f t="shared" si="50"/>
        <v/>
      </c>
      <c r="W198" s="4" t="str">
        <f>IF(A198="","",VLOOKUP(J198,[1]Initiated!$A:$Y,10,0))</f>
        <v/>
      </c>
      <c r="X198" s="5" t="str">
        <f t="shared" si="51"/>
        <v/>
      </c>
    </row>
    <row r="199" spans="1:24" x14ac:dyDescent="0.25">
      <c r="A199" s="6"/>
      <c r="B199" s="6" t="str">
        <f t="shared" si="41"/>
        <v/>
      </c>
      <c r="C199" s="6" t="str">
        <f t="shared" si="42"/>
        <v/>
      </c>
      <c r="D199" s="6"/>
      <c r="E199" s="6"/>
      <c r="F199" s="6"/>
      <c r="G199" s="6"/>
      <c r="H199" s="6" t="str">
        <f t="shared" si="43"/>
        <v/>
      </c>
      <c r="I199" s="6" t="str">
        <f t="shared" ca="1" si="44"/>
        <v/>
      </c>
      <c r="J199" s="3" t="str">
        <f t="shared" si="45"/>
        <v/>
      </c>
      <c r="K199" s="6" t="str">
        <f>IF(A199="","",VLOOKUP(J199,[1]Initiated!$A:$Y,2,0))</f>
        <v/>
      </c>
      <c r="L199" s="2" t="str">
        <f>IF(A199="","",VLOOKUP(J199,[1]Initiated!$A:$Y,5,FALSE))</f>
        <v/>
      </c>
      <c r="M199" s="6" t="str">
        <f>IF(A199="","",VLOOKUP(J199,[1]Initiated!$A:$Y,6,FALSE))</f>
        <v/>
      </c>
      <c r="N199" s="6" t="str">
        <f>IF(A199="","",VLOOKUP(J199,[1]Initiated!$A:$Y,9,FALSE))</f>
        <v/>
      </c>
      <c r="O199" s="3" t="str">
        <f t="shared" si="46"/>
        <v/>
      </c>
      <c r="P199" s="6" t="str">
        <f>IF(OR(A199="", ISNUMBER(SEARCH("PFr", C199))), "", VLOOKUP(J199, [1]Initiated!$A:$Y, 7, FALSE))</f>
        <v/>
      </c>
      <c r="Q199" s="6" t="str">
        <f>IF(OR(A199="", ISNUMBER(SEARCH("PFr", C199))), "", VLOOKUP(J199, [1]Initiated!$A:$Y, 8, 0))</f>
        <v/>
      </c>
      <c r="R199" s="5" t="str">
        <f t="shared" si="47"/>
        <v/>
      </c>
      <c r="S199" s="4" t="str">
        <f>IF(A199="","",VLOOKUP(J199,[1]Initiated!$A:$Y,3,FALSE))</f>
        <v/>
      </c>
      <c r="T199" s="4" t="str">
        <f t="shared" ca="1" si="48"/>
        <v/>
      </c>
      <c r="U199" s="5" t="str">
        <f t="shared" si="49"/>
        <v/>
      </c>
      <c r="V199" s="5" t="str">
        <f t="shared" si="50"/>
        <v/>
      </c>
      <c r="W199" s="4" t="str">
        <f>IF(A199="","",VLOOKUP(J199,[1]Initiated!$A:$Y,10,0))</f>
        <v/>
      </c>
      <c r="X199" s="5" t="str">
        <f t="shared" si="51"/>
        <v/>
      </c>
    </row>
    <row r="200" spans="1:24" x14ac:dyDescent="0.25">
      <c r="A200" s="6"/>
      <c r="B200" s="6" t="str">
        <f t="shared" si="41"/>
        <v/>
      </c>
      <c r="C200" s="6" t="str">
        <f t="shared" si="42"/>
        <v/>
      </c>
      <c r="D200" s="6"/>
      <c r="E200" s="6"/>
      <c r="F200" s="6"/>
      <c r="G200" s="6"/>
      <c r="H200" s="6" t="str">
        <f t="shared" si="43"/>
        <v/>
      </c>
      <c r="I200" s="6" t="str">
        <f t="shared" ca="1" si="44"/>
        <v/>
      </c>
      <c r="J200" s="3" t="str">
        <f t="shared" si="45"/>
        <v/>
      </c>
      <c r="K200" s="6" t="str">
        <f>IF(A200="","",VLOOKUP(J200,[1]Initiated!$A:$Y,2,0))</f>
        <v/>
      </c>
      <c r="L200" s="2" t="str">
        <f>IF(A200="","",VLOOKUP(J200,[1]Initiated!$A:$Y,5,FALSE))</f>
        <v/>
      </c>
      <c r="M200" s="6" t="str">
        <f>IF(A200="","",VLOOKUP(J200,[1]Initiated!$A:$Y,6,FALSE))</f>
        <v/>
      </c>
      <c r="N200" s="6" t="str">
        <f>IF(A200="","",VLOOKUP(J200,[1]Initiated!$A:$Y,9,FALSE))</f>
        <v/>
      </c>
      <c r="O200" s="3" t="str">
        <f t="shared" si="46"/>
        <v/>
      </c>
      <c r="P200" s="6" t="str">
        <f>IF(OR(A200="", ISNUMBER(SEARCH("PFr", C200))), "", VLOOKUP(J200, [1]Initiated!$A:$Y, 7, FALSE))</f>
        <v/>
      </c>
      <c r="Q200" s="6" t="str">
        <f>IF(OR(A200="", ISNUMBER(SEARCH("PFr", C200))), "", VLOOKUP(J200, [1]Initiated!$A:$Y, 8, 0))</f>
        <v/>
      </c>
      <c r="R200" s="5" t="str">
        <f t="shared" si="47"/>
        <v/>
      </c>
      <c r="S200" s="4" t="str">
        <f>IF(A200="","",VLOOKUP(J200,[1]Initiated!$A:$Y,3,FALSE))</f>
        <v/>
      </c>
      <c r="T200" s="4" t="str">
        <f t="shared" ca="1" si="48"/>
        <v/>
      </c>
      <c r="U200" s="5" t="str">
        <f t="shared" si="49"/>
        <v/>
      </c>
      <c r="V200" s="5" t="str">
        <f t="shared" si="50"/>
        <v/>
      </c>
      <c r="W200" s="4" t="str">
        <f>IF(A200="","",VLOOKUP(J200,[1]Initiated!$A:$Y,10,0))</f>
        <v/>
      </c>
      <c r="X200" s="5" t="str">
        <f t="shared" si="51"/>
        <v/>
      </c>
    </row>
    <row r="201" spans="1:24" x14ac:dyDescent="0.25">
      <c r="A201" s="6"/>
      <c r="B201" s="6" t="str">
        <f t="shared" si="41"/>
        <v/>
      </c>
      <c r="C201" s="6" t="str">
        <f t="shared" si="42"/>
        <v/>
      </c>
      <c r="D201" s="6"/>
      <c r="E201" s="6"/>
      <c r="F201" s="6"/>
      <c r="G201" s="6"/>
      <c r="H201" s="6" t="str">
        <f t="shared" si="43"/>
        <v/>
      </c>
      <c r="I201" s="6" t="str">
        <f t="shared" ca="1" si="44"/>
        <v/>
      </c>
      <c r="J201" s="3" t="str">
        <f t="shared" si="45"/>
        <v/>
      </c>
      <c r="K201" s="6" t="str">
        <f>IF(A201="","",VLOOKUP(J201,[1]Initiated!$A:$Y,2,0))</f>
        <v/>
      </c>
      <c r="L201" s="2" t="str">
        <f>IF(A201="","",VLOOKUP(J201,[1]Initiated!$A:$Y,5,FALSE))</f>
        <v/>
      </c>
      <c r="M201" s="6" t="str">
        <f>IF(A201="","",VLOOKUP(J201,[1]Initiated!$A:$Y,6,FALSE))</f>
        <v/>
      </c>
      <c r="N201" s="6" t="str">
        <f>IF(A201="","",VLOOKUP(J201,[1]Initiated!$A:$Y,9,FALSE))</f>
        <v/>
      </c>
      <c r="O201" s="3" t="str">
        <f t="shared" si="46"/>
        <v/>
      </c>
      <c r="P201" s="6" t="str">
        <f>IF(OR(A201="", ISNUMBER(SEARCH("PFr", C201))), "", VLOOKUP(J201, [1]Initiated!$A:$Y, 7, FALSE))</f>
        <v/>
      </c>
      <c r="Q201" s="6" t="str">
        <f>IF(OR(A201="", ISNUMBER(SEARCH("PFr", C201))), "", VLOOKUP(J201, [1]Initiated!$A:$Y, 8, 0))</f>
        <v/>
      </c>
      <c r="R201" s="5" t="str">
        <f t="shared" si="47"/>
        <v/>
      </c>
      <c r="S201" s="4" t="str">
        <f>IF(A201="","",VLOOKUP(J201,[1]Initiated!$A:$Y,3,FALSE))</f>
        <v/>
      </c>
      <c r="T201" s="4" t="str">
        <f t="shared" ca="1" si="48"/>
        <v/>
      </c>
      <c r="U201" s="5" t="str">
        <f t="shared" si="49"/>
        <v/>
      </c>
      <c r="V201" s="5" t="str">
        <f t="shared" si="50"/>
        <v/>
      </c>
      <c r="W201" s="4" t="str">
        <f>IF(A201="","",VLOOKUP(J201,[1]Initiated!$A:$Y,10,0))</f>
        <v/>
      </c>
      <c r="X201" s="5" t="str">
        <f t="shared" si="51"/>
        <v/>
      </c>
    </row>
    <row r="202" spans="1:24" x14ac:dyDescent="0.25">
      <c r="A202" s="6"/>
      <c r="B202" s="6" t="str">
        <f t="shared" si="41"/>
        <v/>
      </c>
      <c r="C202" s="6" t="str">
        <f t="shared" si="42"/>
        <v/>
      </c>
      <c r="D202" s="6"/>
      <c r="E202" s="6"/>
      <c r="F202" s="6"/>
      <c r="G202" s="6"/>
      <c r="H202" s="6" t="str">
        <f t="shared" si="43"/>
        <v/>
      </c>
      <c r="I202" s="6" t="str">
        <f t="shared" ca="1" si="44"/>
        <v/>
      </c>
      <c r="J202" s="3" t="str">
        <f t="shared" si="45"/>
        <v/>
      </c>
      <c r="K202" s="6" t="str">
        <f>IF(A202="","",VLOOKUP(J202,[1]Initiated!$A:$Y,2,0))</f>
        <v/>
      </c>
      <c r="L202" s="2" t="str">
        <f>IF(A202="","",VLOOKUP(J202,[1]Initiated!$A:$Y,5,FALSE))</f>
        <v/>
      </c>
      <c r="M202" s="6" t="str">
        <f>IF(A202="","",VLOOKUP(J202,[1]Initiated!$A:$Y,6,FALSE))</f>
        <v/>
      </c>
      <c r="N202" s="6" t="str">
        <f>IF(A202="","",VLOOKUP(J202,[1]Initiated!$A:$Y,9,FALSE))</f>
        <v/>
      </c>
      <c r="O202" s="3" t="str">
        <f t="shared" si="46"/>
        <v/>
      </c>
      <c r="P202" s="6" t="str">
        <f>IF(OR(A202="", ISNUMBER(SEARCH("PFr", C202))), "", VLOOKUP(J202, [1]Initiated!$A:$Y, 7, FALSE))</f>
        <v/>
      </c>
      <c r="Q202" s="6" t="str">
        <f>IF(OR(A202="", ISNUMBER(SEARCH("PFr", C202))), "", VLOOKUP(J202, [1]Initiated!$A:$Y, 8, 0))</f>
        <v/>
      </c>
      <c r="R202" s="5" t="str">
        <f t="shared" si="47"/>
        <v/>
      </c>
      <c r="S202" s="4" t="str">
        <f>IF(A202="","",VLOOKUP(J202,[1]Initiated!$A:$Y,3,FALSE))</f>
        <v/>
      </c>
      <c r="T202" s="4" t="str">
        <f t="shared" ca="1" si="48"/>
        <v/>
      </c>
      <c r="U202" s="5" t="str">
        <f t="shared" si="49"/>
        <v/>
      </c>
      <c r="V202" s="5" t="str">
        <f t="shared" si="50"/>
        <v/>
      </c>
      <c r="W202" s="4" t="str">
        <f>IF(A202="","",VLOOKUP(J202,[1]Initiated!$A:$Y,10,0))</f>
        <v/>
      </c>
      <c r="X202" s="5" t="str">
        <f t="shared" si="51"/>
        <v/>
      </c>
    </row>
    <row r="203" spans="1:24" x14ac:dyDescent="0.25">
      <c r="A203" s="6"/>
      <c r="B203" s="6" t="str">
        <f t="shared" si="41"/>
        <v/>
      </c>
      <c r="C203" s="6" t="str">
        <f t="shared" si="42"/>
        <v/>
      </c>
      <c r="D203" s="6"/>
      <c r="E203" s="6"/>
      <c r="F203" s="6"/>
      <c r="G203" s="6"/>
      <c r="H203" s="6" t="str">
        <f t="shared" si="43"/>
        <v/>
      </c>
      <c r="I203" s="6" t="str">
        <f t="shared" ca="1" si="44"/>
        <v/>
      </c>
      <c r="J203" s="3" t="str">
        <f t="shared" si="45"/>
        <v/>
      </c>
      <c r="K203" s="6" t="str">
        <f>IF(A203="","",VLOOKUP(J203,[1]Initiated!$A:$Y,2,0))</f>
        <v/>
      </c>
      <c r="L203" s="2" t="str">
        <f>IF(A203="","",VLOOKUP(J203,[1]Initiated!$A:$Y,5,FALSE))</f>
        <v/>
      </c>
      <c r="M203" s="6" t="str">
        <f>IF(A203="","",VLOOKUP(J203,[1]Initiated!$A:$Y,6,FALSE))</f>
        <v/>
      </c>
      <c r="N203" s="6" t="str">
        <f>IF(A203="","",VLOOKUP(J203,[1]Initiated!$A:$Y,9,FALSE))</f>
        <v/>
      </c>
      <c r="O203" s="3" t="str">
        <f t="shared" si="46"/>
        <v/>
      </c>
      <c r="P203" s="6" t="str">
        <f>IF(OR(A203="", ISNUMBER(SEARCH("PFr", C203))), "", VLOOKUP(J203, [1]Initiated!$A:$Y, 7, FALSE))</f>
        <v/>
      </c>
      <c r="Q203" s="6" t="str">
        <f>IF(OR(A203="", ISNUMBER(SEARCH("PFr", C203))), "", VLOOKUP(J203, [1]Initiated!$A:$Y, 8, 0))</f>
        <v/>
      </c>
      <c r="R203" s="5" t="str">
        <f t="shared" si="47"/>
        <v/>
      </c>
      <c r="S203" s="4" t="str">
        <f>IF(A203="","",VLOOKUP(J203,[1]Initiated!$A:$Y,3,FALSE))</f>
        <v/>
      </c>
      <c r="T203" s="4" t="str">
        <f t="shared" ca="1" si="48"/>
        <v/>
      </c>
      <c r="U203" s="5" t="str">
        <f t="shared" si="49"/>
        <v/>
      </c>
      <c r="V203" s="5" t="str">
        <f t="shared" si="50"/>
        <v/>
      </c>
      <c r="W203" s="4" t="str">
        <f>IF(A203="","",VLOOKUP(J203,[1]Initiated!$A:$Y,10,0))</f>
        <v/>
      </c>
      <c r="X203" s="5" t="str">
        <f t="shared" si="51"/>
        <v/>
      </c>
    </row>
    <row r="204" spans="1:24" x14ac:dyDescent="0.25">
      <c r="A204" s="6"/>
      <c r="B204" s="6" t="str">
        <f t="shared" si="41"/>
        <v/>
      </c>
      <c r="C204" s="6" t="str">
        <f t="shared" si="42"/>
        <v/>
      </c>
      <c r="D204" s="6"/>
      <c r="E204" s="6"/>
      <c r="F204" s="6"/>
      <c r="G204" s="6"/>
      <c r="H204" s="6" t="str">
        <f t="shared" si="43"/>
        <v/>
      </c>
      <c r="I204" s="6" t="str">
        <f t="shared" ca="1" si="44"/>
        <v/>
      </c>
      <c r="J204" s="3" t="str">
        <f t="shared" si="45"/>
        <v/>
      </c>
      <c r="K204" s="6" t="str">
        <f>IF(A204="","",VLOOKUP(J204,[1]Initiated!$A:$Y,2,0))</f>
        <v/>
      </c>
      <c r="L204" s="2" t="str">
        <f>IF(A204="","",VLOOKUP(J204,[1]Initiated!$A:$Y,5,FALSE))</f>
        <v/>
      </c>
      <c r="M204" s="6" t="str">
        <f>IF(A204="","",VLOOKUP(J204,[1]Initiated!$A:$Y,6,FALSE))</f>
        <v/>
      </c>
      <c r="N204" s="6" t="str">
        <f>IF(A204="","",VLOOKUP(J204,[1]Initiated!$A:$Y,9,FALSE))</f>
        <v/>
      </c>
      <c r="O204" s="3" t="str">
        <f t="shared" si="46"/>
        <v/>
      </c>
      <c r="P204" s="6" t="str">
        <f>IF(OR(A204="", ISNUMBER(SEARCH("PFr", C204))), "", VLOOKUP(J204, [1]Initiated!$A:$Y, 7, FALSE))</f>
        <v/>
      </c>
      <c r="Q204" s="6" t="str">
        <f>IF(OR(A204="", ISNUMBER(SEARCH("PFr", C204))), "", VLOOKUP(J204, [1]Initiated!$A:$Y, 8, 0))</f>
        <v/>
      </c>
      <c r="R204" s="5" t="str">
        <f t="shared" si="47"/>
        <v/>
      </c>
      <c r="S204" s="4" t="str">
        <f>IF(A204="","",VLOOKUP(J204,[1]Initiated!$A:$Y,3,FALSE))</f>
        <v/>
      </c>
      <c r="T204" s="4" t="str">
        <f t="shared" ca="1" si="48"/>
        <v/>
      </c>
      <c r="U204" s="5" t="str">
        <f t="shared" si="49"/>
        <v/>
      </c>
      <c r="V204" s="5" t="str">
        <f t="shared" si="50"/>
        <v/>
      </c>
      <c r="W204" s="4" t="str">
        <f>IF(A204="","",VLOOKUP(J204,[1]Initiated!$A:$Y,10,0))</f>
        <v/>
      </c>
      <c r="X204" s="5" t="str">
        <f t="shared" si="51"/>
        <v/>
      </c>
    </row>
    <row r="205" spans="1:24" x14ac:dyDescent="0.25">
      <c r="A205" s="6"/>
      <c r="B205" s="6" t="str">
        <f t="shared" si="41"/>
        <v/>
      </c>
      <c r="C205" s="6" t="str">
        <f t="shared" si="42"/>
        <v/>
      </c>
      <c r="D205" s="6"/>
      <c r="E205" s="6"/>
      <c r="F205" s="6"/>
      <c r="G205" s="6"/>
      <c r="H205" s="6" t="str">
        <f t="shared" si="43"/>
        <v/>
      </c>
      <c r="I205" s="6" t="str">
        <f t="shared" ca="1" si="44"/>
        <v/>
      </c>
      <c r="J205" s="3" t="str">
        <f t="shared" si="45"/>
        <v/>
      </c>
      <c r="K205" s="6" t="str">
        <f>IF(A205="","",VLOOKUP(J205,[1]Initiated!$A:$Y,2,0))</f>
        <v/>
      </c>
      <c r="L205" s="2" t="str">
        <f>IF(A205="","",VLOOKUP(J205,[1]Initiated!$A:$Y,5,FALSE))</f>
        <v/>
      </c>
      <c r="M205" s="6" t="str">
        <f>IF(A205="","",VLOOKUP(J205,[1]Initiated!$A:$Y,6,FALSE))</f>
        <v/>
      </c>
      <c r="N205" s="6" t="str">
        <f>IF(A205="","",VLOOKUP(J205,[1]Initiated!$A:$Y,9,FALSE))</f>
        <v/>
      </c>
      <c r="O205" s="3" t="str">
        <f t="shared" si="46"/>
        <v/>
      </c>
      <c r="P205" s="6" t="str">
        <f>IF(OR(A205="", ISNUMBER(SEARCH("PFr", C205))), "", VLOOKUP(J205, [1]Initiated!$A:$Y, 7, FALSE))</f>
        <v/>
      </c>
      <c r="Q205" s="6" t="str">
        <f>IF(OR(A205="", ISNUMBER(SEARCH("PFr", C205))), "", VLOOKUP(J205, [1]Initiated!$A:$Y, 8, 0))</f>
        <v/>
      </c>
      <c r="R205" s="5" t="str">
        <f t="shared" si="47"/>
        <v/>
      </c>
      <c r="S205" s="4" t="str">
        <f>IF(A205="","",VLOOKUP(J205,[1]Initiated!$A:$Y,3,FALSE))</f>
        <v/>
      </c>
      <c r="T205" s="4" t="str">
        <f t="shared" ca="1" si="48"/>
        <v/>
      </c>
      <c r="U205" s="5" t="str">
        <f t="shared" si="49"/>
        <v/>
      </c>
      <c r="V205" s="5" t="str">
        <f t="shared" si="50"/>
        <v/>
      </c>
      <c r="W205" s="4" t="str">
        <f>IF(A205="","",VLOOKUP(J205,[1]Initiated!$A:$Y,10,0))</f>
        <v/>
      </c>
      <c r="X205" s="5" t="str">
        <f t="shared" si="51"/>
        <v/>
      </c>
    </row>
    <row r="206" spans="1:24" x14ac:dyDescent="0.25">
      <c r="A206" s="6"/>
      <c r="B206" s="6" t="str">
        <f t="shared" si="41"/>
        <v/>
      </c>
      <c r="C206" s="6" t="str">
        <f t="shared" si="42"/>
        <v/>
      </c>
      <c r="D206" s="6"/>
      <c r="E206" s="6"/>
      <c r="F206" s="6"/>
      <c r="G206" s="6"/>
      <c r="H206" s="6" t="str">
        <f t="shared" si="43"/>
        <v/>
      </c>
      <c r="I206" s="6" t="str">
        <f t="shared" ca="1" si="44"/>
        <v/>
      </c>
      <c r="J206" s="3" t="str">
        <f t="shared" si="45"/>
        <v/>
      </c>
      <c r="K206" s="6" t="str">
        <f>IF(A206="","",VLOOKUP(J206,[1]Initiated!$A:$Y,2,0))</f>
        <v/>
      </c>
      <c r="L206" s="2" t="str">
        <f>IF(A206="","",VLOOKUP(J206,[1]Initiated!$A:$Y,5,FALSE))</f>
        <v/>
      </c>
      <c r="M206" s="6" t="str">
        <f>IF(A206="","",VLOOKUP(J206,[1]Initiated!$A:$Y,6,FALSE))</f>
        <v/>
      </c>
      <c r="N206" s="6" t="str">
        <f>IF(A206="","",VLOOKUP(J206,[1]Initiated!$A:$Y,9,FALSE))</f>
        <v/>
      </c>
      <c r="O206" s="3" t="str">
        <f t="shared" si="46"/>
        <v/>
      </c>
      <c r="P206" s="6" t="str">
        <f>IF(OR(A206="", ISNUMBER(SEARCH("PFr", C206))), "", VLOOKUP(J206, [1]Initiated!$A:$Y, 7, FALSE))</f>
        <v/>
      </c>
      <c r="Q206" s="6" t="str">
        <f>IF(OR(A206="", ISNUMBER(SEARCH("PFr", C206))), "", VLOOKUP(J206, [1]Initiated!$A:$Y, 8, 0))</f>
        <v/>
      </c>
      <c r="R206" s="5" t="str">
        <f t="shared" si="47"/>
        <v/>
      </c>
      <c r="S206" s="4" t="str">
        <f>IF(A206="","",VLOOKUP(J206,[1]Initiated!$A:$Y,3,FALSE))</f>
        <v/>
      </c>
      <c r="T206" s="4" t="str">
        <f t="shared" ca="1" si="48"/>
        <v/>
      </c>
      <c r="U206" s="5" t="str">
        <f t="shared" si="49"/>
        <v/>
      </c>
      <c r="V206" s="5" t="str">
        <f t="shared" si="50"/>
        <v/>
      </c>
      <c r="W206" s="4" t="str">
        <f>IF(A206="","",VLOOKUP(J206,[1]Initiated!$A:$Y,10,0))</f>
        <v/>
      </c>
      <c r="X206" s="5" t="str">
        <f t="shared" si="51"/>
        <v/>
      </c>
    </row>
    <row r="207" spans="1:24" x14ac:dyDescent="0.25">
      <c r="A207" s="6"/>
      <c r="B207" s="6" t="str">
        <f t="shared" si="41"/>
        <v/>
      </c>
      <c r="C207" s="6" t="str">
        <f t="shared" si="42"/>
        <v/>
      </c>
      <c r="D207" s="6"/>
      <c r="E207" s="6"/>
      <c r="F207" s="6"/>
      <c r="G207" s="6"/>
      <c r="H207" s="6" t="str">
        <f t="shared" si="43"/>
        <v/>
      </c>
      <c r="I207" s="6" t="str">
        <f t="shared" ca="1" si="44"/>
        <v/>
      </c>
      <c r="J207" s="3" t="str">
        <f t="shared" si="45"/>
        <v/>
      </c>
      <c r="K207" s="6" t="str">
        <f>IF(A207="","",VLOOKUP(J207,[1]Initiated!$A:$Y,2,0))</f>
        <v/>
      </c>
      <c r="L207" s="2" t="str">
        <f>IF(A207="","",VLOOKUP(J207,[1]Initiated!$A:$Y,5,FALSE))</f>
        <v/>
      </c>
      <c r="M207" s="6" t="str">
        <f>IF(A207="","",VLOOKUP(J207,[1]Initiated!$A:$Y,6,FALSE))</f>
        <v/>
      </c>
      <c r="N207" s="6" t="str">
        <f>IF(A207="","",VLOOKUP(J207,[1]Initiated!$A:$Y,9,FALSE))</f>
        <v/>
      </c>
      <c r="O207" s="3" t="str">
        <f t="shared" si="46"/>
        <v/>
      </c>
      <c r="P207" s="6" t="str">
        <f>IF(OR(A207="", ISNUMBER(SEARCH("PFr", C207))), "", VLOOKUP(J207, [1]Initiated!$A:$Y, 7, FALSE))</f>
        <v/>
      </c>
      <c r="Q207" s="6" t="str">
        <f>IF(OR(A207="", ISNUMBER(SEARCH("PFr", C207))), "", VLOOKUP(J207, [1]Initiated!$A:$Y, 8, 0))</f>
        <v/>
      </c>
      <c r="R207" s="5" t="str">
        <f t="shared" si="47"/>
        <v/>
      </c>
      <c r="S207" s="4" t="str">
        <f>IF(A207="","",VLOOKUP(J207,[1]Initiated!$A:$Y,3,FALSE))</f>
        <v/>
      </c>
      <c r="T207" s="4" t="str">
        <f t="shared" ca="1" si="48"/>
        <v/>
      </c>
      <c r="U207" s="5" t="str">
        <f t="shared" si="49"/>
        <v/>
      </c>
      <c r="V207" s="5" t="str">
        <f t="shared" si="50"/>
        <v/>
      </c>
      <c r="W207" s="4" t="str">
        <f>IF(A207="","",VLOOKUP(J207,[1]Initiated!$A:$Y,10,0))</f>
        <v/>
      </c>
      <c r="X207" s="5" t="str">
        <f t="shared" si="51"/>
        <v/>
      </c>
    </row>
    <row r="208" spans="1:24" x14ac:dyDescent="0.25">
      <c r="A208" s="6"/>
      <c r="B208" s="6" t="str">
        <f t="shared" si="41"/>
        <v/>
      </c>
      <c r="C208" s="6" t="str">
        <f t="shared" si="42"/>
        <v/>
      </c>
      <c r="D208" s="6"/>
      <c r="E208" s="6"/>
      <c r="F208" s="6"/>
      <c r="G208" s="6"/>
      <c r="H208" s="6" t="str">
        <f t="shared" si="43"/>
        <v/>
      </c>
      <c r="I208" s="6" t="str">
        <f t="shared" ca="1" si="44"/>
        <v/>
      </c>
      <c r="J208" s="3" t="str">
        <f t="shared" si="45"/>
        <v/>
      </c>
      <c r="K208" s="6" t="str">
        <f>IF(A208="","",VLOOKUP(J208,[1]Initiated!$A:$Y,2,0))</f>
        <v/>
      </c>
      <c r="L208" s="2" t="str">
        <f>IF(A208="","",VLOOKUP(J208,[1]Initiated!$A:$Y,5,FALSE))</f>
        <v/>
      </c>
      <c r="M208" s="6" t="str">
        <f>IF(A208="","",VLOOKUP(J208,[1]Initiated!$A:$Y,6,FALSE))</f>
        <v/>
      </c>
      <c r="N208" s="6" t="str">
        <f>IF(A208="","",VLOOKUP(J208,[1]Initiated!$A:$Y,9,FALSE))</f>
        <v/>
      </c>
      <c r="O208" s="3" t="str">
        <f t="shared" si="46"/>
        <v/>
      </c>
      <c r="P208" s="6" t="str">
        <f>IF(OR(A208="", ISNUMBER(SEARCH("PFr", C208))), "", VLOOKUP(J208, [1]Initiated!$A:$Y, 7, FALSE))</f>
        <v/>
      </c>
      <c r="Q208" s="6" t="str">
        <f>IF(OR(A208="", ISNUMBER(SEARCH("PFr", C208))), "", VLOOKUP(J208, [1]Initiated!$A:$Y, 8, 0))</f>
        <v/>
      </c>
      <c r="R208" s="5" t="str">
        <f t="shared" si="47"/>
        <v/>
      </c>
      <c r="S208" s="4" t="str">
        <f>IF(A208="","",VLOOKUP(J208,[1]Initiated!$A:$Y,3,FALSE))</f>
        <v/>
      </c>
      <c r="T208" s="4" t="str">
        <f t="shared" ca="1" si="48"/>
        <v/>
      </c>
      <c r="U208" s="5" t="str">
        <f t="shared" si="49"/>
        <v/>
      </c>
      <c r="V208" s="5" t="str">
        <f t="shared" si="50"/>
        <v/>
      </c>
      <c r="W208" s="4" t="str">
        <f>IF(A208="","",VLOOKUP(J208,[1]Initiated!$A:$Y,10,0))</f>
        <v/>
      </c>
      <c r="X208" s="5" t="str">
        <f t="shared" si="51"/>
        <v/>
      </c>
    </row>
    <row r="209" spans="1:24" x14ac:dyDescent="0.25">
      <c r="A209" s="6"/>
      <c r="B209" s="6" t="str">
        <f t="shared" si="41"/>
        <v/>
      </c>
      <c r="C209" s="6" t="str">
        <f t="shared" si="42"/>
        <v/>
      </c>
      <c r="D209" s="6"/>
      <c r="E209" s="6"/>
      <c r="F209" s="6"/>
      <c r="G209" s="6"/>
      <c r="H209" s="6" t="str">
        <f t="shared" si="43"/>
        <v/>
      </c>
      <c r="I209" s="6" t="str">
        <f t="shared" ca="1" si="44"/>
        <v/>
      </c>
      <c r="J209" s="3" t="str">
        <f t="shared" si="45"/>
        <v/>
      </c>
      <c r="K209" s="6" t="str">
        <f>IF(A209="","",VLOOKUP(J209,[1]Initiated!$A:$Y,2,0))</f>
        <v/>
      </c>
      <c r="L209" s="2" t="str">
        <f>IF(A209="","",VLOOKUP(J209,[1]Initiated!$A:$Y,5,FALSE))</f>
        <v/>
      </c>
      <c r="M209" s="6" t="str">
        <f>IF(A209="","",VLOOKUP(J209,[1]Initiated!$A:$Y,6,FALSE))</f>
        <v/>
      </c>
      <c r="N209" s="6" t="str">
        <f>IF(A209="","",VLOOKUP(J209,[1]Initiated!$A:$Y,9,FALSE))</f>
        <v/>
      </c>
      <c r="O209" s="3" t="str">
        <f t="shared" si="46"/>
        <v/>
      </c>
      <c r="P209" s="6" t="str">
        <f>IF(OR(A209="", ISNUMBER(SEARCH("PFr", C209))), "", VLOOKUP(J209, [1]Initiated!$A:$Y, 7, FALSE))</f>
        <v/>
      </c>
      <c r="Q209" s="6" t="str">
        <f>IF(OR(A209="", ISNUMBER(SEARCH("PFr", C209))), "", VLOOKUP(J209, [1]Initiated!$A:$Y, 8, 0))</f>
        <v/>
      </c>
      <c r="R209" s="5" t="str">
        <f t="shared" si="47"/>
        <v/>
      </c>
      <c r="S209" s="4" t="str">
        <f>IF(A209="","",VLOOKUP(J209,[1]Initiated!$A:$Y,3,FALSE))</f>
        <v/>
      </c>
      <c r="T209" s="4" t="str">
        <f t="shared" ca="1" si="48"/>
        <v/>
      </c>
      <c r="U209" s="5" t="str">
        <f t="shared" si="49"/>
        <v/>
      </c>
      <c r="V209" s="5" t="str">
        <f t="shared" si="50"/>
        <v/>
      </c>
      <c r="W209" s="4" t="str">
        <f>IF(A209="","",VLOOKUP(J209,[1]Initiated!$A:$Y,10,0))</f>
        <v/>
      </c>
      <c r="X209" s="5" t="str">
        <f t="shared" si="51"/>
        <v/>
      </c>
    </row>
    <row r="210" spans="1:24" x14ac:dyDescent="0.25">
      <c r="A210" s="6"/>
      <c r="B210" s="6" t="str">
        <f t="shared" si="41"/>
        <v/>
      </c>
      <c r="C210" s="6" t="str">
        <f t="shared" si="42"/>
        <v/>
      </c>
      <c r="D210" s="6"/>
      <c r="E210" s="6"/>
      <c r="F210" s="6"/>
      <c r="G210" s="6"/>
      <c r="H210" s="6" t="str">
        <f t="shared" si="43"/>
        <v/>
      </c>
      <c r="I210" s="6" t="str">
        <f t="shared" ca="1" si="44"/>
        <v/>
      </c>
      <c r="J210" s="3" t="str">
        <f t="shared" si="45"/>
        <v/>
      </c>
      <c r="K210" s="6" t="str">
        <f>IF(A210="","",VLOOKUP(J210,[1]Initiated!$A:$Y,2,0))</f>
        <v/>
      </c>
      <c r="L210" s="2" t="str">
        <f>IF(A210="","",VLOOKUP(J210,[1]Initiated!$A:$Y,5,FALSE))</f>
        <v/>
      </c>
      <c r="M210" s="6" t="str">
        <f>IF(A210="","",VLOOKUP(J210,[1]Initiated!$A:$Y,6,FALSE))</f>
        <v/>
      </c>
      <c r="N210" s="6" t="str">
        <f>IF(A210="","",VLOOKUP(J210,[1]Initiated!$A:$Y,9,FALSE))</f>
        <v/>
      </c>
      <c r="O210" s="3" t="str">
        <f t="shared" si="46"/>
        <v/>
      </c>
      <c r="P210" s="6" t="str">
        <f>IF(OR(A210="", ISNUMBER(SEARCH("PFr", C210))), "", VLOOKUP(J210, [1]Initiated!$A:$Y, 7, FALSE))</f>
        <v/>
      </c>
      <c r="Q210" s="6" t="str">
        <f>IF(OR(A210="", ISNUMBER(SEARCH("PFr", C210))), "", VLOOKUP(J210, [1]Initiated!$A:$Y, 8, 0))</f>
        <v/>
      </c>
      <c r="R210" s="5" t="str">
        <f t="shared" si="47"/>
        <v/>
      </c>
      <c r="S210" s="4" t="str">
        <f>IF(A210="","",VLOOKUP(J210,[1]Initiated!$A:$Y,3,FALSE))</f>
        <v/>
      </c>
      <c r="T210" s="4" t="str">
        <f t="shared" ca="1" si="48"/>
        <v/>
      </c>
      <c r="U210" s="5" t="str">
        <f t="shared" si="49"/>
        <v/>
      </c>
      <c r="V210" s="5" t="str">
        <f t="shared" si="50"/>
        <v/>
      </c>
      <c r="W210" s="4" t="str">
        <f>IF(A210="","",VLOOKUP(J210,[1]Initiated!$A:$Y,10,0))</f>
        <v/>
      </c>
      <c r="X210" s="5" t="str">
        <f t="shared" si="51"/>
        <v/>
      </c>
    </row>
    <row r="211" spans="1:24" x14ac:dyDescent="0.25">
      <c r="A211" s="6"/>
      <c r="B211" s="6" t="str">
        <f t="shared" si="41"/>
        <v/>
      </c>
      <c r="C211" s="6" t="str">
        <f t="shared" si="42"/>
        <v/>
      </c>
      <c r="D211" s="6"/>
      <c r="E211" s="6"/>
      <c r="F211" s="6"/>
      <c r="G211" s="6"/>
      <c r="H211" s="6" t="str">
        <f t="shared" si="43"/>
        <v/>
      </c>
      <c r="I211" s="6" t="str">
        <f t="shared" ca="1" si="44"/>
        <v/>
      </c>
      <c r="J211" s="3" t="str">
        <f t="shared" si="45"/>
        <v/>
      </c>
      <c r="K211" s="6" t="str">
        <f>IF(A211="","",VLOOKUP(J211,[1]Initiated!$A:$Y,2,0))</f>
        <v/>
      </c>
      <c r="L211" s="2" t="str">
        <f>IF(A211="","",VLOOKUP(J211,[1]Initiated!$A:$Y,5,FALSE))</f>
        <v/>
      </c>
      <c r="M211" s="6" t="str">
        <f>IF(A211="","",VLOOKUP(J211,[1]Initiated!$A:$Y,6,FALSE))</f>
        <v/>
      </c>
      <c r="N211" s="6" t="str">
        <f>IF(A211="","",VLOOKUP(J211,[1]Initiated!$A:$Y,9,FALSE))</f>
        <v/>
      </c>
      <c r="O211" s="3" t="str">
        <f t="shared" si="46"/>
        <v/>
      </c>
      <c r="P211" s="6" t="str">
        <f>IF(OR(A211="", ISNUMBER(SEARCH("PFr", C211))), "", VLOOKUP(J211, [1]Initiated!$A:$Y, 7, FALSE))</f>
        <v/>
      </c>
      <c r="Q211" s="6" t="str">
        <f>IF(OR(A211="", ISNUMBER(SEARCH("PFr", C211))), "", VLOOKUP(J211, [1]Initiated!$A:$Y, 8, 0))</f>
        <v/>
      </c>
      <c r="R211" s="5" t="str">
        <f t="shared" si="47"/>
        <v/>
      </c>
      <c r="S211" s="4" t="str">
        <f>IF(A211="","",VLOOKUP(J211,[1]Initiated!$A:$Y,3,FALSE))</f>
        <v/>
      </c>
      <c r="T211" s="4" t="str">
        <f t="shared" ca="1" si="48"/>
        <v/>
      </c>
      <c r="U211" s="5" t="str">
        <f t="shared" si="49"/>
        <v/>
      </c>
      <c r="V211" s="5" t="str">
        <f t="shared" si="50"/>
        <v/>
      </c>
      <c r="W211" s="4" t="str">
        <f>IF(A211="","",VLOOKUP(J211,[1]Initiated!$A:$Y,10,0))</f>
        <v/>
      </c>
      <c r="X211" s="5" t="str">
        <f t="shared" si="51"/>
        <v/>
      </c>
    </row>
    <row r="212" spans="1:24" x14ac:dyDescent="0.25">
      <c r="A212" s="6"/>
      <c r="B212" s="6" t="str">
        <f t="shared" si="41"/>
        <v/>
      </c>
      <c r="C212" s="6" t="str">
        <f t="shared" si="42"/>
        <v/>
      </c>
      <c r="D212" s="6"/>
      <c r="E212" s="6"/>
      <c r="F212" s="6"/>
      <c r="G212" s="6"/>
      <c r="H212" s="6" t="str">
        <f t="shared" si="43"/>
        <v/>
      </c>
      <c r="I212" s="6" t="str">
        <f t="shared" ca="1" si="44"/>
        <v/>
      </c>
      <c r="J212" s="3" t="str">
        <f t="shared" si="45"/>
        <v/>
      </c>
      <c r="K212" s="6" t="str">
        <f>IF(A212="","",VLOOKUP(J212,[1]Initiated!$A:$Y,2,0))</f>
        <v/>
      </c>
      <c r="L212" s="2" t="str">
        <f>IF(A212="","",VLOOKUP(J212,[1]Initiated!$A:$Y,5,FALSE))</f>
        <v/>
      </c>
      <c r="M212" s="6" t="str">
        <f>IF(A212="","",VLOOKUP(J212,[1]Initiated!$A:$Y,6,FALSE))</f>
        <v/>
      </c>
      <c r="N212" s="6" t="str">
        <f>IF(A212="","",VLOOKUP(J212,[1]Initiated!$A:$Y,9,FALSE))</f>
        <v/>
      </c>
      <c r="O212" s="3" t="str">
        <f t="shared" si="46"/>
        <v/>
      </c>
      <c r="P212" s="6" t="str">
        <f>IF(OR(A212="", ISNUMBER(SEARCH("PFr", C212))), "", VLOOKUP(J212, [1]Initiated!$A:$Y, 7, FALSE))</f>
        <v/>
      </c>
      <c r="Q212" s="6" t="str">
        <f>IF(OR(A212="", ISNUMBER(SEARCH("PFr", C212))), "", VLOOKUP(J212, [1]Initiated!$A:$Y, 8, 0))</f>
        <v/>
      </c>
      <c r="R212" s="5" t="str">
        <f t="shared" si="47"/>
        <v/>
      </c>
      <c r="S212" s="4" t="str">
        <f>IF(A212="","",VLOOKUP(J212,[1]Initiated!$A:$Y,3,FALSE))</f>
        <v/>
      </c>
      <c r="T212" s="4" t="str">
        <f t="shared" ca="1" si="48"/>
        <v/>
      </c>
      <c r="U212" s="5" t="str">
        <f t="shared" si="49"/>
        <v/>
      </c>
      <c r="V212" s="5" t="str">
        <f t="shared" si="50"/>
        <v/>
      </c>
      <c r="W212" s="4" t="str">
        <f>IF(A212="","",VLOOKUP(J212,[1]Initiated!$A:$Y,10,0))</f>
        <v/>
      </c>
      <c r="X212" s="5" t="str">
        <f t="shared" si="51"/>
        <v/>
      </c>
    </row>
    <row r="213" spans="1:24" x14ac:dyDescent="0.25">
      <c r="A213" s="6"/>
      <c r="B213" s="6" t="str">
        <f t="shared" si="41"/>
        <v/>
      </c>
      <c r="C213" s="6" t="str">
        <f t="shared" si="42"/>
        <v/>
      </c>
      <c r="D213" s="6"/>
      <c r="E213" s="6"/>
      <c r="F213" s="6"/>
      <c r="G213" s="6"/>
      <c r="H213" s="6" t="str">
        <f t="shared" si="43"/>
        <v/>
      </c>
      <c r="I213" s="6" t="str">
        <f t="shared" ca="1" si="44"/>
        <v/>
      </c>
      <c r="J213" s="3" t="str">
        <f t="shared" si="45"/>
        <v/>
      </c>
      <c r="K213" s="6" t="str">
        <f>IF(A213="","",VLOOKUP(J213,[1]Initiated!$A:$Y,2,0))</f>
        <v/>
      </c>
      <c r="L213" s="2" t="str">
        <f>IF(A213="","",VLOOKUP(J213,[1]Initiated!$A:$Y,5,FALSE))</f>
        <v/>
      </c>
      <c r="M213" s="6" t="str">
        <f>IF(A213="","",VLOOKUP(J213,[1]Initiated!$A:$Y,6,FALSE))</f>
        <v/>
      </c>
      <c r="N213" s="6" t="str">
        <f>IF(A213="","",VLOOKUP(J213,[1]Initiated!$A:$Y,9,FALSE))</f>
        <v/>
      </c>
      <c r="O213" s="3" t="str">
        <f t="shared" si="46"/>
        <v/>
      </c>
      <c r="P213" s="6" t="str">
        <f>IF(OR(A213="", ISNUMBER(SEARCH("PFr", C213))), "", VLOOKUP(J213, [1]Initiated!$A:$Y, 7, FALSE))</f>
        <v/>
      </c>
      <c r="Q213" s="6" t="str">
        <f>IF(OR(A213="", ISNUMBER(SEARCH("PFr", C213))), "", VLOOKUP(J213, [1]Initiated!$A:$Y, 8, 0))</f>
        <v/>
      </c>
      <c r="R213" s="5" t="str">
        <f t="shared" si="47"/>
        <v/>
      </c>
      <c r="S213" s="4" t="str">
        <f>IF(A213="","",VLOOKUP(J213,[1]Initiated!$A:$Y,3,FALSE))</f>
        <v/>
      </c>
      <c r="T213" s="4" t="str">
        <f t="shared" ca="1" si="48"/>
        <v/>
      </c>
      <c r="U213" s="5" t="str">
        <f t="shared" si="49"/>
        <v/>
      </c>
      <c r="V213" s="5" t="str">
        <f t="shared" si="50"/>
        <v/>
      </c>
      <c r="W213" s="4" t="str">
        <f>IF(A213="","",VLOOKUP(J213,[1]Initiated!$A:$Y,10,0))</f>
        <v/>
      </c>
      <c r="X213" s="5" t="str">
        <f t="shared" si="51"/>
        <v/>
      </c>
    </row>
    <row r="214" spans="1:24" x14ac:dyDescent="0.25">
      <c r="A214" s="6"/>
      <c r="B214" s="6" t="str">
        <f t="shared" si="41"/>
        <v/>
      </c>
      <c r="C214" s="6" t="str">
        <f t="shared" si="42"/>
        <v/>
      </c>
      <c r="D214" s="6"/>
      <c r="E214" s="6"/>
      <c r="F214" s="6"/>
      <c r="G214" s="6"/>
      <c r="H214" s="6" t="str">
        <f t="shared" si="43"/>
        <v/>
      </c>
      <c r="I214" s="6" t="str">
        <f t="shared" ca="1" si="44"/>
        <v/>
      </c>
      <c r="J214" s="3" t="str">
        <f t="shared" si="45"/>
        <v/>
      </c>
      <c r="K214" s="6" t="str">
        <f>IF(A214="","",VLOOKUP(J214,[1]Initiated!$A:$Y,2,0))</f>
        <v/>
      </c>
      <c r="L214" s="2" t="str">
        <f>IF(A214="","",VLOOKUP(J214,[1]Initiated!$A:$Y,5,FALSE))</f>
        <v/>
      </c>
      <c r="M214" s="6" t="str">
        <f>IF(A214="","",VLOOKUP(J214,[1]Initiated!$A:$Y,6,FALSE))</f>
        <v/>
      </c>
      <c r="N214" s="6" t="str">
        <f>IF(A214="","",VLOOKUP(J214,[1]Initiated!$A:$Y,9,FALSE))</f>
        <v/>
      </c>
      <c r="O214" s="3" t="str">
        <f t="shared" si="46"/>
        <v/>
      </c>
      <c r="P214" s="6" t="str">
        <f>IF(OR(A214="", ISNUMBER(SEARCH("PFr", C214))), "", VLOOKUP(J214, [1]Initiated!$A:$Y, 7, FALSE))</f>
        <v/>
      </c>
      <c r="Q214" s="6" t="str">
        <f>IF(OR(A214="", ISNUMBER(SEARCH("PFr", C214))), "", VLOOKUP(J214, [1]Initiated!$A:$Y, 8, 0))</f>
        <v/>
      </c>
      <c r="R214" s="5" t="str">
        <f t="shared" si="47"/>
        <v/>
      </c>
      <c r="S214" s="4" t="str">
        <f>IF(A214="","",VLOOKUP(J214,[1]Initiated!$A:$Y,3,FALSE))</f>
        <v/>
      </c>
      <c r="T214" s="4" t="str">
        <f t="shared" ca="1" si="48"/>
        <v/>
      </c>
      <c r="U214" s="5" t="str">
        <f t="shared" si="49"/>
        <v/>
      </c>
      <c r="V214" s="5" t="str">
        <f t="shared" si="50"/>
        <v/>
      </c>
      <c r="W214" s="4" t="str">
        <f>IF(A214="","",VLOOKUP(J214,[1]Initiated!$A:$Y,10,0))</f>
        <v/>
      </c>
      <c r="X214" s="5" t="str">
        <f t="shared" si="51"/>
        <v/>
      </c>
    </row>
    <row r="215" spans="1:24" x14ac:dyDescent="0.25">
      <c r="A215" s="6"/>
      <c r="B215" s="6" t="str">
        <f t="shared" si="41"/>
        <v/>
      </c>
      <c r="C215" s="6" t="str">
        <f t="shared" si="42"/>
        <v/>
      </c>
      <c r="D215" s="6"/>
      <c r="E215" s="6"/>
      <c r="F215" s="6"/>
      <c r="G215" s="6"/>
      <c r="H215" s="6" t="str">
        <f t="shared" si="43"/>
        <v/>
      </c>
      <c r="I215" s="6" t="str">
        <f t="shared" ca="1" si="44"/>
        <v/>
      </c>
      <c r="J215" s="3" t="str">
        <f t="shared" si="45"/>
        <v/>
      </c>
      <c r="K215" s="6" t="str">
        <f>IF(A215="","",VLOOKUP(J215,[1]Initiated!$A:$Y,2,0))</f>
        <v/>
      </c>
      <c r="L215" s="2" t="str">
        <f>IF(A215="","",VLOOKUP(J215,[1]Initiated!$A:$Y,5,FALSE))</f>
        <v/>
      </c>
      <c r="M215" s="6" t="str">
        <f>IF(A215="","",VLOOKUP(J215,[1]Initiated!$A:$Y,6,FALSE))</f>
        <v/>
      </c>
      <c r="N215" s="6" t="str">
        <f>IF(A215="","",VLOOKUP(J215,[1]Initiated!$A:$Y,9,FALSE))</f>
        <v/>
      </c>
      <c r="O215" s="3" t="str">
        <f t="shared" si="46"/>
        <v/>
      </c>
      <c r="P215" s="6" t="str">
        <f>IF(OR(A215="", ISNUMBER(SEARCH("PFr", C215))), "", VLOOKUP(J215, [1]Initiated!$A:$Y, 7, FALSE))</f>
        <v/>
      </c>
      <c r="Q215" s="6" t="str">
        <f>IF(OR(A215="", ISNUMBER(SEARCH("PFr", C215))), "", VLOOKUP(J215, [1]Initiated!$A:$Y, 8, 0))</f>
        <v/>
      </c>
      <c r="R215" s="5" t="str">
        <f t="shared" si="47"/>
        <v/>
      </c>
      <c r="S215" s="4" t="str">
        <f>IF(A215="","",VLOOKUP(J215,[1]Initiated!$A:$Y,3,FALSE))</f>
        <v/>
      </c>
      <c r="T215" s="4" t="str">
        <f t="shared" ca="1" si="48"/>
        <v/>
      </c>
      <c r="U215" s="5" t="str">
        <f t="shared" si="49"/>
        <v/>
      </c>
      <c r="V215" s="5" t="str">
        <f t="shared" si="50"/>
        <v/>
      </c>
      <c r="W215" s="4" t="str">
        <f>IF(A215="","",VLOOKUP(J215,[1]Initiated!$A:$Y,10,0))</f>
        <v/>
      </c>
      <c r="X215" s="5" t="str">
        <f t="shared" si="51"/>
        <v/>
      </c>
    </row>
    <row r="216" spans="1:24" x14ac:dyDescent="0.25">
      <c r="A216" s="6"/>
      <c r="B216" s="6" t="str">
        <f t="shared" si="41"/>
        <v/>
      </c>
      <c r="C216" s="6" t="str">
        <f t="shared" si="42"/>
        <v/>
      </c>
      <c r="D216" s="6"/>
      <c r="E216" s="6"/>
      <c r="F216" s="6"/>
      <c r="G216" s="6"/>
      <c r="H216" s="6" t="str">
        <f t="shared" si="43"/>
        <v/>
      </c>
      <c r="I216" s="6" t="str">
        <f t="shared" ca="1" si="44"/>
        <v/>
      </c>
      <c r="J216" s="3" t="str">
        <f t="shared" si="45"/>
        <v/>
      </c>
      <c r="K216" s="6" t="str">
        <f>IF(A216="","",VLOOKUP(J216,[1]Initiated!$A:$Y,2,0))</f>
        <v/>
      </c>
      <c r="L216" s="2" t="str">
        <f>IF(A216="","",VLOOKUP(J216,[1]Initiated!$A:$Y,5,FALSE))</f>
        <v/>
      </c>
      <c r="M216" s="6" t="str">
        <f>IF(A216="","",VLOOKUP(J216,[1]Initiated!$A:$Y,6,FALSE))</f>
        <v/>
      </c>
      <c r="N216" s="6" t="str">
        <f>IF(A216="","",VLOOKUP(J216,[1]Initiated!$A:$Y,9,FALSE))</f>
        <v/>
      </c>
      <c r="O216" s="3" t="str">
        <f t="shared" si="46"/>
        <v/>
      </c>
      <c r="P216" s="6" t="str">
        <f>IF(OR(A216="", ISNUMBER(SEARCH("PFr", C216))), "", VLOOKUP(J216, [1]Initiated!$A:$Y, 7, FALSE))</f>
        <v/>
      </c>
      <c r="Q216" s="6" t="str">
        <f>IF(OR(A216="", ISNUMBER(SEARCH("PFr", C216))), "", VLOOKUP(J216, [1]Initiated!$A:$Y, 8, 0))</f>
        <v/>
      </c>
      <c r="R216" s="5" t="str">
        <f t="shared" si="47"/>
        <v/>
      </c>
      <c r="S216" s="4" t="str">
        <f>IF(A216="","",VLOOKUP(J216,[1]Initiated!$A:$Y,3,FALSE))</f>
        <v/>
      </c>
      <c r="T216" s="4" t="str">
        <f t="shared" ca="1" si="48"/>
        <v/>
      </c>
      <c r="U216" s="5" t="str">
        <f t="shared" si="49"/>
        <v/>
      </c>
      <c r="V216" s="5" t="str">
        <f t="shared" si="50"/>
        <v/>
      </c>
      <c r="W216" s="4" t="str">
        <f>IF(A216="","",VLOOKUP(J216,[1]Initiated!$A:$Y,10,0))</f>
        <v/>
      </c>
      <c r="X216" s="5" t="str">
        <f t="shared" si="51"/>
        <v/>
      </c>
    </row>
    <row r="217" spans="1:24" x14ac:dyDescent="0.25">
      <c r="A217" s="6"/>
      <c r="B217" s="6" t="str">
        <f t="shared" si="41"/>
        <v/>
      </c>
      <c r="C217" s="6" t="str">
        <f t="shared" si="42"/>
        <v/>
      </c>
      <c r="D217" s="6"/>
      <c r="E217" s="6"/>
      <c r="F217" s="6"/>
      <c r="G217" s="6"/>
      <c r="H217" s="6" t="str">
        <f t="shared" si="43"/>
        <v/>
      </c>
      <c r="I217" s="6" t="str">
        <f t="shared" ca="1" si="44"/>
        <v/>
      </c>
      <c r="J217" s="3" t="str">
        <f t="shared" si="45"/>
        <v/>
      </c>
      <c r="K217" s="6" t="str">
        <f>IF(A217="","",VLOOKUP(J217,[1]Initiated!$A:$Y,2,0))</f>
        <v/>
      </c>
      <c r="L217" s="2" t="str">
        <f>IF(A217="","",VLOOKUP(J217,[1]Initiated!$A:$Y,5,FALSE))</f>
        <v/>
      </c>
      <c r="M217" s="6" t="str">
        <f>IF(A217="","",VLOOKUP(J217,[1]Initiated!$A:$Y,6,FALSE))</f>
        <v/>
      </c>
      <c r="N217" s="6" t="str">
        <f>IF(A217="","",VLOOKUP(J217,[1]Initiated!$A:$Y,9,FALSE))</f>
        <v/>
      </c>
      <c r="O217" s="3" t="str">
        <f t="shared" si="46"/>
        <v/>
      </c>
      <c r="P217" s="6" t="str">
        <f>IF(OR(A217="", ISNUMBER(SEARCH("PFr", C217))), "", VLOOKUP(J217, [1]Initiated!$A:$Y, 7, FALSE))</f>
        <v/>
      </c>
      <c r="Q217" s="6" t="str">
        <f>IF(OR(A217="", ISNUMBER(SEARCH("PFr", C217))), "", VLOOKUP(J217, [1]Initiated!$A:$Y, 8, 0))</f>
        <v/>
      </c>
      <c r="R217" s="5" t="str">
        <f t="shared" si="47"/>
        <v/>
      </c>
      <c r="S217" s="4" t="str">
        <f>IF(A217="","",VLOOKUP(J217,[1]Initiated!$A:$Y,3,FALSE))</f>
        <v/>
      </c>
      <c r="T217" s="4" t="str">
        <f t="shared" ca="1" si="48"/>
        <v/>
      </c>
      <c r="U217" s="5" t="str">
        <f t="shared" si="49"/>
        <v/>
      </c>
      <c r="V217" s="5" t="str">
        <f t="shared" si="50"/>
        <v/>
      </c>
      <c r="W217" s="4" t="str">
        <f>IF(A217="","",VLOOKUP(J217,[1]Initiated!$A:$Y,10,0))</f>
        <v/>
      </c>
      <c r="X217" s="5" t="str">
        <f t="shared" si="51"/>
        <v/>
      </c>
    </row>
    <row r="218" spans="1:24" x14ac:dyDescent="0.25">
      <c r="A218" s="6"/>
      <c r="B218" s="6" t="str">
        <f t="shared" si="41"/>
        <v/>
      </c>
      <c r="C218" s="6" t="str">
        <f t="shared" si="42"/>
        <v/>
      </c>
      <c r="D218" s="6"/>
      <c r="E218" s="6"/>
      <c r="F218" s="6"/>
      <c r="G218" s="6"/>
      <c r="H218" s="6" t="str">
        <f t="shared" si="43"/>
        <v/>
      </c>
      <c r="I218" s="6" t="str">
        <f t="shared" ca="1" si="44"/>
        <v/>
      </c>
      <c r="J218" s="3" t="str">
        <f t="shared" si="45"/>
        <v/>
      </c>
      <c r="K218" s="6" t="str">
        <f>IF(A218="","",VLOOKUP(J218,[1]Initiated!$A:$Y,2,0))</f>
        <v/>
      </c>
      <c r="L218" s="2" t="str">
        <f>IF(A218="","",VLOOKUP(J218,[1]Initiated!$A:$Y,5,FALSE))</f>
        <v/>
      </c>
      <c r="M218" s="6" t="str">
        <f>IF(A218="","",VLOOKUP(J218,[1]Initiated!$A:$Y,6,FALSE))</f>
        <v/>
      </c>
      <c r="N218" s="6" t="str">
        <f>IF(A218="","",VLOOKUP(J218,[1]Initiated!$A:$Y,9,FALSE))</f>
        <v/>
      </c>
      <c r="O218" s="3" t="str">
        <f t="shared" si="46"/>
        <v/>
      </c>
      <c r="P218" s="6" t="str">
        <f>IF(OR(A218="", ISNUMBER(SEARCH("PFr", C218))), "", VLOOKUP(J218, [1]Initiated!$A:$Y, 7, FALSE))</f>
        <v/>
      </c>
      <c r="Q218" s="6" t="str">
        <f>IF(OR(A218="", ISNUMBER(SEARCH("PFr", C218))), "", VLOOKUP(J218, [1]Initiated!$A:$Y, 8, 0))</f>
        <v/>
      </c>
      <c r="R218" s="5" t="str">
        <f t="shared" si="47"/>
        <v/>
      </c>
      <c r="S218" s="4" t="str">
        <f>IF(A218="","",VLOOKUP(J218,[1]Initiated!$A:$Y,3,FALSE))</f>
        <v/>
      </c>
      <c r="T218" s="4" t="str">
        <f t="shared" ca="1" si="48"/>
        <v/>
      </c>
      <c r="U218" s="5" t="str">
        <f t="shared" si="49"/>
        <v/>
      </c>
      <c r="V218" s="5" t="str">
        <f t="shared" si="50"/>
        <v/>
      </c>
      <c r="W218" s="4" t="str">
        <f>IF(A218="","",VLOOKUP(J218,[1]Initiated!$A:$Y,10,0))</f>
        <v/>
      </c>
      <c r="X218" s="5" t="str">
        <f t="shared" si="51"/>
        <v/>
      </c>
    </row>
    <row r="219" spans="1:24" x14ac:dyDescent="0.25">
      <c r="A219" s="6"/>
      <c r="B219" s="6" t="str">
        <f t="shared" si="41"/>
        <v/>
      </c>
      <c r="C219" s="6" t="str">
        <f t="shared" si="42"/>
        <v/>
      </c>
      <c r="D219" s="6"/>
      <c r="E219" s="6"/>
      <c r="F219" s="6"/>
      <c r="G219" s="6"/>
      <c r="H219" s="6" t="str">
        <f t="shared" si="43"/>
        <v/>
      </c>
      <c r="I219" s="6" t="str">
        <f t="shared" ca="1" si="44"/>
        <v/>
      </c>
      <c r="J219" s="3" t="str">
        <f t="shared" si="45"/>
        <v/>
      </c>
      <c r="K219" s="6" t="str">
        <f>IF(A219="","",VLOOKUP(J219,[1]Initiated!$A:$Y,2,0))</f>
        <v/>
      </c>
      <c r="L219" s="2" t="str">
        <f>IF(A219="","",VLOOKUP(J219,[1]Initiated!$A:$Y,5,FALSE))</f>
        <v/>
      </c>
      <c r="M219" s="6" t="str">
        <f>IF(A219="","",VLOOKUP(J219,[1]Initiated!$A:$Y,6,FALSE))</f>
        <v/>
      </c>
      <c r="N219" s="6" t="str">
        <f>IF(A219="","",VLOOKUP(J219,[1]Initiated!$A:$Y,9,FALSE))</f>
        <v/>
      </c>
      <c r="O219" s="3" t="str">
        <f t="shared" si="46"/>
        <v/>
      </c>
      <c r="P219" s="6" t="str">
        <f>IF(OR(A219="", ISNUMBER(SEARCH("PFr", C219))), "", VLOOKUP(J219, [1]Initiated!$A:$Y, 7, FALSE))</f>
        <v/>
      </c>
      <c r="Q219" s="6" t="str">
        <f>IF(OR(A219="", ISNUMBER(SEARCH("PFr", C219))), "", VLOOKUP(J219, [1]Initiated!$A:$Y, 8, 0))</f>
        <v/>
      </c>
      <c r="R219" s="5" t="str">
        <f t="shared" si="47"/>
        <v/>
      </c>
      <c r="S219" s="4" t="str">
        <f>IF(A219="","",VLOOKUP(J219,[1]Initiated!$A:$Y,3,FALSE))</f>
        <v/>
      </c>
      <c r="T219" s="4" t="str">
        <f t="shared" ca="1" si="48"/>
        <v/>
      </c>
      <c r="U219" s="5" t="str">
        <f t="shared" si="49"/>
        <v/>
      </c>
      <c r="V219" s="5" t="str">
        <f t="shared" si="50"/>
        <v/>
      </c>
      <c r="W219" s="4" t="str">
        <f>IF(A219="","",VLOOKUP(J219,[1]Initiated!$A:$Y,10,0))</f>
        <v/>
      </c>
      <c r="X219" s="5" t="str">
        <f t="shared" si="51"/>
        <v/>
      </c>
    </row>
    <row r="220" spans="1:24" x14ac:dyDescent="0.25">
      <c r="A220" s="6"/>
      <c r="B220" s="6" t="str">
        <f t="shared" si="41"/>
        <v/>
      </c>
      <c r="C220" s="6" t="str">
        <f t="shared" si="42"/>
        <v/>
      </c>
      <c r="D220" s="6"/>
      <c r="E220" s="6"/>
      <c r="F220" s="6"/>
      <c r="G220" s="6"/>
      <c r="H220" s="6" t="str">
        <f t="shared" si="43"/>
        <v/>
      </c>
      <c r="I220" s="6" t="str">
        <f t="shared" ca="1" si="44"/>
        <v/>
      </c>
      <c r="J220" s="3" t="str">
        <f t="shared" si="45"/>
        <v/>
      </c>
      <c r="K220" s="6" t="str">
        <f>IF(A220="","",VLOOKUP(J220,[1]Initiated!$A:$Y,2,0))</f>
        <v/>
      </c>
      <c r="L220" s="2" t="str">
        <f>IF(A220="","",VLOOKUP(J220,[1]Initiated!$A:$Y,5,FALSE))</f>
        <v/>
      </c>
      <c r="M220" s="6" t="str">
        <f>IF(A220="","",VLOOKUP(J220,[1]Initiated!$A:$Y,6,FALSE))</f>
        <v/>
      </c>
      <c r="N220" s="6" t="str">
        <f>IF(A220="","",VLOOKUP(J220,[1]Initiated!$A:$Y,9,FALSE))</f>
        <v/>
      </c>
      <c r="O220" s="3" t="str">
        <f t="shared" si="46"/>
        <v/>
      </c>
      <c r="P220" s="6" t="str">
        <f>IF(OR(A220="", ISNUMBER(SEARCH("PFr", C220))), "", VLOOKUP(J220, [1]Initiated!$A:$Y, 7, FALSE))</f>
        <v/>
      </c>
      <c r="Q220" s="6" t="str">
        <f>IF(OR(A220="", ISNUMBER(SEARCH("PFr", C220))), "", VLOOKUP(J220, [1]Initiated!$A:$Y, 8, 0))</f>
        <v/>
      </c>
      <c r="R220" s="5" t="str">
        <f t="shared" si="47"/>
        <v/>
      </c>
      <c r="S220" s="4" t="str">
        <f>IF(A220="","",VLOOKUP(J220,[1]Initiated!$A:$Y,3,FALSE))</f>
        <v/>
      </c>
      <c r="T220" s="4" t="str">
        <f t="shared" ca="1" si="48"/>
        <v/>
      </c>
      <c r="U220" s="5" t="str">
        <f t="shared" si="49"/>
        <v/>
      </c>
      <c r="V220" s="5" t="str">
        <f t="shared" si="50"/>
        <v/>
      </c>
      <c r="W220" s="4" t="str">
        <f>IF(A220="","",VLOOKUP(J220,[1]Initiated!$A:$Y,10,0))</f>
        <v/>
      </c>
      <c r="X220" s="5" t="str">
        <f t="shared" si="51"/>
        <v/>
      </c>
    </row>
    <row r="221" spans="1:24" x14ac:dyDescent="0.25">
      <c r="A221" s="6"/>
      <c r="B221" s="6" t="str">
        <f t="shared" si="41"/>
        <v/>
      </c>
      <c r="C221" s="6" t="str">
        <f t="shared" si="42"/>
        <v/>
      </c>
      <c r="D221" s="6"/>
      <c r="E221" s="6"/>
      <c r="F221" s="6"/>
      <c r="G221" s="6"/>
      <c r="H221" s="6" t="str">
        <f t="shared" si="43"/>
        <v/>
      </c>
      <c r="I221" s="6" t="str">
        <f t="shared" ca="1" si="44"/>
        <v/>
      </c>
      <c r="J221" s="3" t="str">
        <f t="shared" si="45"/>
        <v/>
      </c>
      <c r="K221" s="6" t="str">
        <f>IF(A221="","",VLOOKUP(J221,[1]Initiated!$A:$Y,2,0))</f>
        <v/>
      </c>
      <c r="L221" s="2" t="str">
        <f>IF(A221="","",VLOOKUP(J221,[1]Initiated!$A:$Y,5,FALSE))</f>
        <v/>
      </c>
      <c r="M221" s="6" t="str">
        <f>IF(A221="","",VLOOKUP(J221,[1]Initiated!$A:$Y,6,FALSE))</f>
        <v/>
      </c>
      <c r="N221" s="6" t="str">
        <f>IF(A221="","",VLOOKUP(J221,[1]Initiated!$A:$Y,9,FALSE))</f>
        <v/>
      </c>
      <c r="O221" s="3" t="str">
        <f t="shared" si="46"/>
        <v/>
      </c>
      <c r="P221" s="6" t="str">
        <f>IF(OR(A221="", ISNUMBER(SEARCH("PFr", C221))), "", VLOOKUP(J221, [1]Initiated!$A:$Y, 7, FALSE))</f>
        <v/>
      </c>
      <c r="Q221" s="6" t="str">
        <f>IF(OR(A221="", ISNUMBER(SEARCH("PFr", C221))), "", VLOOKUP(J221, [1]Initiated!$A:$Y, 8, 0))</f>
        <v/>
      </c>
      <c r="R221" s="5" t="str">
        <f t="shared" si="47"/>
        <v/>
      </c>
      <c r="S221" s="4" t="str">
        <f>IF(A221="","",VLOOKUP(J221,[1]Initiated!$A:$Y,3,FALSE))</f>
        <v/>
      </c>
      <c r="T221" s="4" t="str">
        <f t="shared" ca="1" si="48"/>
        <v/>
      </c>
      <c r="U221" s="5" t="str">
        <f t="shared" si="49"/>
        <v/>
      </c>
      <c r="V221" s="5" t="str">
        <f t="shared" si="50"/>
        <v/>
      </c>
      <c r="W221" s="4" t="str">
        <f>IF(A221="","",VLOOKUP(J221,[1]Initiated!$A:$Y,10,0))</f>
        <v/>
      </c>
      <c r="X221" s="5" t="str">
        <f t="shared" si="51"/>
        <v/>
      </c>
    </row>
    <row r="222" spans="1:24" x14ac:dyDescent="0.25">
      <c r="A222" s="6"/>
      <c r="B222" s="6" t="str">
        <f t="shared" si="41"/>
        <v/>
      </c>
      <c r="C222" s="6" t="str">
        <f t="shared" si="42"/>
        <v/>
      </c>
      <c r="D222" s="6"/>
      <c r="E222" s="6"/>
      <c r="F222" s="6"/>
      <c r="G222" s="6"/>
      <c r="H222" s="6" t="str">
        <f t="shared" si="43"/>
        <v/>
      </c>
      <c r="I222" s="6" t="str">
        <f t="shared" ca="1" si="44"/>
        <v/>
      </c>
      <c r="J222" s="3" t="str">
        <f t="shared" si="45"/>
        <v/>
      </c>
      <c r="K222" s="6" t="str">
        <f>IF(A222="","",VLOOKUP(J222,[1]Initiated!$A:$Y,2,0))</f>
        <v/>
      </c>
      <c r="L222" s="2" t="str">
        <f>IF(A222="","",VLOOKUP(J222,[1]Initiated!$A:$Y,5,FALSE))</f>
        <v/>
      </c>
      <c r="M222" s="6" t="str">
        <f>IF(A222="","",VLOOKUP(J222,[1]Initiated!$A:$Y,6,FALSE))</f>
        <v/>
      </c>
      <c r="N222" s="6" t="str">
        <f>IF(A222="","",VLOOKUP(J222,[1]Initiated!$A:$Y,9,FALSE))</f>
        <v/>
      </c>
      <c r="O222" s="3" t="str">
        <f t="shared" si="46"/>
        <v/>
      </c>
      <c r="P222" s="6" t="str">
        <f>IF(OR(A222="", ISNUMBER(SEARCH("PFr", C222))), "", VLOOKUP(J222, [1]Initiated!$A:$Y, 7, FALSE))</f>
        <v/>
      </c>
      <c r="Q222" s="6" t="str">
        <f>IF(OR(A222="", ISNUMBER(SEARCH("PFr", C222))), "", VLOOKUP(J222, [1]Initiated!$A:$Y, 8, 0))</f>
        <v/>
      </c>
      <c r="R222" s="5" t="str">
        <f t="shared" si="47"/>
        <v/>
      </c>
      <c r="S222" s="4" t="str">
        <f>IF(A222="","",VLOOKUP(J222,[1]Initiated!$A:$Y,3,FALSE))</f>
        <v/>
      </c>
      <c r="T222" s="4" t="str">
        <f t="shared" ca="1" si="48"/>
        <v/>
      </c>
      <c r="U222" s="5" t="str">
        <f t="shared" si="49"/>
        <v/>
      </c>
      <c r="V222" s="5" t="str">
        <f t="shared" si="50"/>
        <v/>
      </c>
      <c r="W222" s="4" t="str">
        <f>IF(A222="","",VLOOKUP(J222,[1]Initiated!$A:$Y,10,0))</f>
        <v/>
      </c>
      <c r="X222" s="5" t="str">
        <f t="shared" si="51"/>
        <v/>
      </c>
    </row>
    <row r="223" spans="1:24" x14ac:dyDescent="0.25">
      <c r="A223" s="6"/>
      <c r="B223" s="6" t="str">
        <f t="shared" si="41"/>
        <v/>
      </c>
      <c r="C223" s="6" t="str">
        <f t="shared" si="42"/>
        <v/>
      </c>
      <c r="D223" s="6"/>
      <c r="E223" s="6"/>
      <c r="F223" s="6"/>
      <c r="G223" s="6"/>
      <c r="H223" s="6" t="str">
        <f t="shared" si="43"/>
        <v/>
      </c>
      <c r="I223" s="6" t="str">
        <f t="shared" ca="1" si="44"/>
        <v/>
      </c>
      <c r="J223" s="3" t="str">
        <f t="shared" si="45"/>
        <v/>
      </c>
      <c r="K223" s="6" t="str">
        <f>IF(A223="","",VLOOKUP(J223,[1]Initiated!$A:$Y,2,0))</f>
        <v/>
      </c>
      <c r="L223" s="2" t="str">
        <f>IF(A223="","",VLOOKUP(J223,[1]Initiated!$A:$Y,5,FALSE))</f>
        <v/>
      </c>
      <c r="M223" s="6" t="str">
        <f>IF(A223="","",VLOOKUP(J223,[1]Initiated!$A:$Y,6,FALSE))</f>
        <v/>
      </c>
      <c r="N223" s="6" t="str">
        <f>IF(A223="","",VLOOKUP(J223,[1]Initiated!$A:$Y,9,FALSE))</f>
        <v/>
      </c>
      <c r="O223" s="3" t="str">
        <f t="shared" si="46"/>
        <v/>
      </c>
      <c r="P223" s="6" t="str">
        <f>IF(OR(A223="", ISNUMBER(SEARCH("PFr", C223))), "", VLOOKUP(J223, [1]Initiated!$A:$Y, 7, FALSE))</f>
        <v/>
      </c>
      <c r="Q223" s="6" t="str">
        <f>IF(OR(A223="", ISNUMBER(SEARCH("PFr", C223))), "", VLOOKUP(J223, [1]Initiated!$A:$Y, 8, 0))</f>
        <v/>
      </c>
      <c r="R223" s="5" t="str">
        <f t="shared" si="47"/>
        <v/>
      </c>
      <c r="S223" s="4" t="str">
        <f>IF(A223="","",VLOOKUP(J223,[1]Initiated!$A:$Y,3,FALSE))</f>
        <v/>
      </c>
      <c r="T223" s="4" t="str">
        <f t="shared" ca="1" si="48"/>
        <v/>
      </c>
      <c r="U223" s="5" t="str">
        <f t="shared" si="49"/>
        <v/>
      </c>
      <c r="V223" s="5" t="str">
        <f t="shared" si="50"/>
        <v/>
      </c>
      <c r="W223" s="4" t="str">
        <f>IF(A223="","",VLOOKUP(J223,[1]Initiated!$A:$Y,10,0))</f>
        <v/>
      </c>
      <c r="X223" s="5" t="str">
        <f t="shared" si="51"/>
        <v/>
      </c>
    </row>
    <row r="224" spans="1:24" x14ac:dyDescent="0.25">
      <c r="A224" s="6"/>
      <c r="B224" s="6" t="str">
        <f t="shared" si="41"/>
        <v/>
      </c>
      <c r="C224" s="6" t="str">
        <f t="shared" si="42"/>
        <v/>
      </c>
      <c r="D224" s="6"/>
      <c r="E224" s="6"/>
      <c r="F224" s="6"/>
      <c r="G224" s="6"/>
      <c r="H224" s="6" t="str">
        <f t="shared" si="43"/>
        <v/>
      </c>
      <c r="I224" s="6" t="str">
        <f t="shared" ca="1" si="44"/>
        <v/>
      </c>
      <c r="J224" s="3" t="str">
        <f t="shared" si="45"/>
        <v/>
      </c>
      <c r="K224" s="6" t="str">
        <f>IF(A224="","",VLOOKUP(J224,[1]Initiated!$A:$Y,2,0))</f>
        <v/>
      </c>
      <c r="L224" s="2" t="str">
        <f>IF(A224="","",VLOOKUP(J224,[1]Initiated!$A:$Y,5,FALSE))</f>
        <v/>
      </c>
      <c r="M224" s="6" t="str">
        <f>IF(A224="","",VLOOKUP(J224,[1]Initiated!$A:$Y,6,FALSE))</f>
        <v/>
      </c>
      <c r="N224" s="6" t="str">
        <f>IF(A224="","",VLOOKUP(J224,[1]Initiated!$A:$Y,9,FALSE))</f>
        <v/>
      </c>
      <c r="O224" s="3" t="str">
        <f t="shared" si="46"/>
        <v/>
      </c>
      <c r="P224" s="6" t="str">
        <f>IF(OR(A224="", ISNUMBER(SEARCH("PFr", C224))), "", VLOOKUP(J224, [1]Initiated!$A:$Y, 7, FALSE))</f>
        <v/>
      </c>
      <c r="Q224" s="6" t="str">
        <f>IF(OR(A224="", ISNUMBER(SEARCH("PFr", C224))), "", VLOOKUP(J224, [1]Initiated!$A:$Y, 8, 0))</f>
        <v/>
      </c>
      <c r="R224" s="5" t="str">
        <f t="shared" si="47"/>
        <v/>
      </c>
      <c r="S224" s="4" t="str">
        <f>IF(A224="","",VLOOKUP(J224,[1]Initiated!$A:$Y,3,FALSE))</f>
        <v/>
      </c>
      <c r="T224" s="4" t="str">
        <f t="shared" ca="1" si="48"/>
        <v/>
      </c>
      <c r="U224" s="5" t="str">
        <f t="shared" si="49"/>
        <v/>
      </c>
      <c r="V224" s="5" t="str">
        <f t="shared" si="50"/>
        <v/>
      </c>
      <c r="W224" s="4" t="str">
        <f>IF(A224="","",VLOOKUP(J224,[1]Initiated!$A:$Y,10,0))</f>
        <v/>
      </c>
      <c r="X224" s="5" t="str">
        <f t="shared" si="51"/>
        <v/>
      </c>
    </row>
    <row r="225" spans="1:24" x14ac:dyDescent="0.25">
      <c r="A225" s="6"/>
      <c r="B225" s="6" t="str">
        <f t="shared" si="41"/>
        <v/>
      </c>
      <c r="C225" s="6" t="str">
        <f t="shared" si="42"/>
        <v/>
      </c>
      <c r="D225" s="6"/>
      <c r="E225" s="6"/>
      <c r="F225" s="6"/>
      <c r="G225" s="6"/>
      <c r="H225" s="6" t="str">
        <f t="shared" si="43"/>
        <v/>
      </c>
      <c r="I225" s="6" t="str">
        <f t="shared" ca="1" si="44"/>
        <v/>
      </c>
      <c r="J225" s="3" t="str">
        <f t="shared" si="45"/>
        <v/>
      </c>
      <c r="K225" s="6" t="str">
        <f>IF(A225="","",VLOOKUP(J225,[1]Initiated!$A:$Y,2,0))</f>
        <v/>
      </c>
      <c r="L225" s="2" t="str">
        <f>IF(A225="","",VLOOKUP(J225,[1]Initiated!$A:$Y,5,FALSE))</f>
        <v/>
      </c>
      <c r="M225" s="6" t="str">
        <f>IF(A225="","",VLOOKUP(J225,[1]Initiated!$A:$Y,6,FALSE))</f>
        <v/>
      </c>
      <c r="N225" s="6" t="str">
        <f>IF(A225="","",VLOOKUP(J225,[1]Initiated!$A:$Y,9,FALSE))</f>
        <v/>
      </c>
      <c r="O225" s="3" t="str">
        <f t="shared" si="46"/>
        <v/>
      </c>
      <c r="P225" s="6" t="str">
        <f>IF(OR(A225="", ISNUMBER(SEARCH("PFr", C225))), "", VLOOKUP(J225, [1]Initiated!$A:$Y, 7, FALSE))</f>
        <v/>
      </c>
      <c r="Q225" s="6" t="str">
        <f>IF(OR(A225="", ISNUMBER(SEARCH("PFr", C225))), "", VLOOKUP(J225, [1]Initiated!$A:$Y, 8, 0))</f>
        <v/>
      </c>
      <c r="R225" s="5" t="str">
        <f t="shared" si="47"/>
        <v/>
      </c>
      <c r="S225" s="4" t="str">
        <f>IF(A225="","",VLOOKUP(J225,[1]Initiated!$A:$Y,3,FALSE))</f>
        <v/>
      </c>
      <c r="T225" s="4" t="str">
        <f t="shared" ca="1" si="48"/>
        <v/>
      </c>
      <c r="U225" s="5" t="str">
        <f t="shared" si="49"/>
        <v/>
      </c>
      <c r="V225" s="5" t="str">
        <f t="shared" si="50"/>
        <v/>
      </c>
      <c r="W225" s="4" t="str">
        <f>IF(A225="","",VLOOKUP(J225,[1]Initiated!$A:$Y,10,0))</f>
        <v/>
      </c>
      <c r="X225" s="5" t="str">
        <f t="shared" si="51"/>
        <v/>
      </c>
    </row>
    <row r="226" spans="1:24" x14ac:dyDescent="0.25">
      <c r="A226" s="6"/>
      <c r="B226" s="6" t="str">
        <f t="shared" si="41"/>
        <v/>
      </c>
      <c r="C226" s="6" t="str">
        <f t="shared" si="42"/>
        <v/>
      </c>
      <c r="D226" s="6"/>
      <c r="E226" s="6"/>
      <c r="F226" s="6"/>
      <c r="G226" s="6"/>
      <c r="H226" s="6" t="str">
        <f t="shared" si="43"/>
        <v/>
      </c>
      <c r="I226" s="6" t="str">
        <f t="shared" ca="1" si="44"/>
        <v/>
      </c>
      <c r="J226" s="3" t="str">
        <f t="shared" si="45"/>
        <v/>
      </c>
      <c r="K226" s="6" t="str">
        <f>IF(A226="","",VLOOKUP(J226,[1]Initiated!$A:$Y,2,0))</f>
        <v/>
      </c>
      <c r="L226" s="2" t="str">
        <f>IF(A226="","",VLOOKUP(J226,[1]Initiated!$A:$Y,5,FALSE))</f>
        <v/>
      </c>
      <c r="M226" s="6" t="str">
        <f>IF(A226="","",VLOOKUP(J226,[1]Initiated!$A:$Y,6,FALSE))</f>
        <v/>
      </c>
      <c r="N226" s="6" t="str">
        <f>IF(A226="","",VLOOKUP(J226,[1]Initiated!$A:$Y,9,FALSE))</f>
        <v/>
      </c>
      <c r="O226" s="3" t="str">
        <f t="shared" si="46"/>
        <v/>
      </c>
      <c r="P226" s="6" t="str">
        <f>IF(OR(A226="", ISNUMBER(SEARCH("PFr", C226))), "", VLOOKUP(J226, [1]Initiated!$A:$Y, 7, FALSE))</f>
        <v/>
      </c>
      <c r="Q226" s="6" t="str">
        <f>IF(OR(A226="", ISNUMBER(SEARCH("PFr", C226))), "", VLOOKUP(J226, [1]Initiated!$A:$Y, 8, 0))</f>
        <v/>
      </c>
      <c r="R226" s="5" t="str">
        <f t="shared" si="47"/>
        <v/>
      </c>
      <c r="S226" s="4" t="str">
        <f>IF(A226="","",VLOOKUP(J226,[1]Initiated!$A:$Y,3,FALSE))</f>
        <v/>
      </c>
      <c r="T226" s="4" t="str">
        <f t="shared" ca="1" si="48"/>
        <v/>
      </c>
      <c r="U226" s="5" t="str">
        <f t="shared" si="49"/>
        <v/>
      </c>
      <c r="V226" s="5" t="str">
        <f t="shared" si="50"/>
        <v/>
      </c>
      <c r="W226" s="4" t="str">
        <f>IF(A226="","",VLOOKUP(J226,[1]Initiated!$A:$Y,10,0))</f>
        <v/>
      </c>
      <c r="X226" s="5" t="str">
        <f t="shared" si="51"/>
        <v/>
      </c>
    </row>
    <row r="227" spans="1:24" x14ac:dyDescent="0.25">
      <c r="A227" s="6"/>
      <c r="B227" s="6" t="str">
        <f t="shared" si="41"/>
        <v/>
      </c>
      <c r="C227" s="6" t="str">
        <f t="shared" si="42"/>
        <v/>
      </c>
      <c r="D227" s="6"/>
      <c r="E227" s="6"/>
      <c r="F227" s="6"/>
      <c r="G227" s="6"/>
      <c r="H227" s="6" t="str">
        <f t="shared" si="43"/>
        <v/>
      </c>
      <c r="I227" s="6" t="str">
        <f t="shared" ca="1" si="44"/>
        <v/>
      </c>
      <c r="J227" s="3" t="str">
        <f t="shared" si="45"/>
        <v/>
      </c>
      <c r="K227" s="6" t="str">
        <f>IF(A227="","",VLOOKUP(J227,[1]Initiated!$A:$Y,2,0))</f>
        <v/>
      </c>
      <c r="L227" s="2" t="str">
        <f>IF(A227="","",VLOOKUP(J227,[1]Initiated!$A:$Y,5,FALSE))</f>
        <v/>
      </c>
      <c r="M227" s="6" t="str">
        <f>IF(A227="","",VLOOKUP(J227,[1]Initiated!$A:$Y,6,FALSE))</f>
        <v/>
      </c>
      <c r="N227" s="6" t="str">
        <f>IF(A227="","",VLOOKUP(J227,[1]Initiated!$A:$Y,9,FALSE))</f>
        <v/>
      </c>
      <c r="O227" s="3" t="str">
        <f t="shared" si="46"/>
        <v/>
      </c>
      <c r="P227" s="6" t="str">
        <f>IF(OR(A227="", ISNUMBER(SEARCH("PFr", C227))), "", VLOOKUP(J227, [1]Initiated!$A:$Y, 7, FALSE))</f>
        <v/>
      </c>
      <c r="Q227" s="6" t="str">
        <f>IF(OR(A227="", ISNUMBER(SEARCH("PFr", C227))), "", VLOOKUP(J227, [1]Initiated!$A:$Y, 8, 0))</f>
        <v/>
      </c>
      <c r="R227" s="5" t="str">
        <f t="shared" si="47"/>
        <v/>
      </c>
      <c r="S227" s="4" t="str">
        <f>IF(A227="","",VLOOKUP(J227,[1]Initiated!$A:$Y,3,FALSE))</f>
        <v/>
      </c>
      <c r="T227" s="4" t="str">
        <f t="shared" ca="1" si="48"/>
        <v/>
      </c>
      <c r="U227" s="5" t="str">
        <f t="shared" si="49"/>
        <v/>
      </c>
      <c r="V227" s="5" t="str">
        <f t="shared" si="50"/>
        <v/>
      </c>
      <c r="W227" s="4" t="str">
        <f>IF(A227="","",VLOOKUP(J227,[1]Initiated!$A:$Y,10,0))</f>
        <v/>
      </c>
      <c r="X227" s="5" t="str">
        <f t="shared" si="51"/>
        <v/>
      </c>
    </row>
    <row r="228" spans="1:24" x14ac:dyDescent="0.25">
      <c r="A228" s="6"/>
      <c r="B228" s="6" t="str">
        <f t="shared" si="41"/>
        <v/>
      </c>
      <c r="C228" s="6" t="str">
        <f t="shared" si="42"/>
        <v/>
      </c>
      <c r="D228" s="6"/>
      <c r="E228" s="6"/>
      <c r="F228" s="6"/>
      <c r="G228" s="6"/>
      <c r="H228" s="6" t="str">
        <f t="shared" si="43"/>
        <v/>
      </c>
      <c r="I228" s="6" t="str">
        <f t="shared" ca="1" si="44"/>
        <v/>
      </c>
      <c r="J228" s="3" t="str">
        <f t="shared" si="45"/>
        <v/>
      </c>
      <c r="K228" s="6" t="str">
        <f>IF(A228="","",VLOOKUP(J228,[1]Initiated!$A:$Y,2,0))</f>
        <v/>
      </c>
      <c r="L228" s="2" t="str">
        <f>IF(A228="","",VLOOKUP(J228,[1]Initiated!$A:$Y,5,FALSE))</f>
        <v/>
      </c>
      <c r="M228" s="6" t="str">
        <f>IF(A228="","",VLOOKUP(J228,[1]Initiated!$A:$Y,6,FALSE))</f>
        <v/>
      </c>
      <c r="N228" s="6" t="str">
        <f>IF(A228="","",VLOOKUP(J228,[1]Initiated!$A:$Y,9,FALSE))</f>
        <v/>
      </c>
      <c r="O228" s="3" t="str">
        <f t="shared" si="46"/>
        <v/>
      </c>
      <c r="P228" s="6" t="str">
        <f>IF(OR(A228="", ISNUMBER(SEARCH("PFr", C228))), "", VLOOKUP(J228, [1]Initiated!$A:$Y, 7, FALSE))</f>
        <v/>
      </c>
      <c r="Q228" s="6" t="str">
        <f>IF(OR(A228="", ISNUMBER(SEARCH("PFr", C228))), "", VLOOKUP(J228, [1]Initiated!$A:$Y, 8, 0))</f>
        <v/>
      </c>
      <c r="R228" s="5" t="str">
        <f t="shared" si="47"/>
        <v/>
      </c>
      <c r="S228" s="4" t="str">
        <f>IF(A228="","",VLOOKUP(J228,[1]Initiated!$A:$Y,3,FALSE))</f>
        <v/>
      </c>
      <c r="T228" s="4" t="str">
        <f t="shared" ca="1" si="48"/>
        <v/>
      </c>
      <c r="U228" s="5" t="str">
        <f t="shared" si="49"/>
        <v/>
      </c>
      <c r="V228" s="5" t="str">
        <f t="shared" si="50"/>
        <v/>
      </c>
      <c r="W228" s="4" t="str">
        <f>IF(A228="","",VLOOKUP(J228,[1]Initiated!$A:$Y,10,0))</f>
        <v/>
      </c>
      <c r="X228" s="5" t="str">
        <f t="shared" si="51"/>
        <v/>
      </c>
    </row>
    <row r="229" spans="1:24" x14ac:dyDescent="0.25">
      <c r="A229" s="6"/>
      <c r="B229" s="6" t="str">
        <f t="shared" si="41"/>
        <v/>
      </c>
      <c r="C229" s="6" t="str">
        <f t="shared" si="42"/>
        <v/>
      </c>
      <c r="D229" s="6"/>
      <c r="E229" s="6"/>
      <c r="F229" s="6"/>
      <c r="G229" s="6"/>
      <c r="H229" s="6" t="str">
        <f t="shared" si="43"/>
        <v/>
      </c>
      <c r="I229" s="6" t="str">
        <f t="shared" ca="1" si="44"/>
        <v/>
      </c>
      <c r="J229" s="3" t="str">
        <f t="shared" si="45"/>
        <v/>
      </c>
      <c r="K229" s="6" t="str">
        <f>IF(A229="","",VLOOKUP(J229,[1]Initiated!$A:$Y,2,0))</f>
        <v/>
      </c>
      <c r="L229" s="2" t="str">
        <f>IF(A229="","",VLOOKUP(J229,[1]Initiated!$A:$Y,5,FALSE))</f>
        <v/>
      </c>
      <c r="M229" s="6" t="str">
        <f>IF(A229="","",VLOOKUP(J229,[1]Initiated!$A:$Y,6,FALSE))</f>
        <v/>
      </c>
      <c r="N229" s="6" t="str">
        <f>IF(A229="","",VLOOKUP(J229,[1]Initiated!$A:$Y,9,FALSE))</f>
        <v/>
      </c>
      <c r="O229" s="3" t="str">
        <f t="shared" si="46"/>
        <v/>
      </c>
      <c r="P229" s="6" t="str">
        <f>IF(OR(A229="", ISNUMBER(SEARCH("PFr", C229))), "", VLOOKUP(J229, [1]Initiated!$A:$Y, 7, FALSE))</f>
        <v/>
      </c>
      <c r="Q229" s="6" t="str">
        <f>IF(OR(A229="", ISNUMBER(SEARCH("PFr", C229))), "", VLOOKUP(J229, [1]Initiated!$A:$Y, 8, 0))</f>
        <v/>
      </c>
      <c r="R229" s="5" t="str">
        <f t="shared" si="47"/>
        <v/>
      </c>
      <c r="S229" s="4" t="str">
        <f>IF(A229="","",VLOOKUP(J229,[1]Initiated!$A:$Y,3,FALSE))</f>
        <v/>
      </c>
      <c r="T229" s="4" t="str">
        <f t="shared" ca="1" si="48"/>
        <v/>
      </c>
      <c r="U229" s="5" t="str">
        <f t="shared" si="49"/>
        <v/>
      </c>
      <c r="V229" s="5" t="str">
        <f t="shared" si="50"/>
        <v/>
      </c>
      <c r="W229" s="4" t="str">
        <f>IF(A229="","",VLOOKUP(J229,[1]Initiated!$A:$Y,10,0))</f>
        <v/>
      </c>
      <c r="X229" s="5" t="str">
        <f t="shared" si="51"/>
        <v/>
      </c>
    </row>
    <row r="230" spans="1:24" x14ac:dyDescent="0.25">
      <c r="A230" s="6"/>
      <c r="B230" s="6" t="str">
        <f t="shared" si="41"/>
        <v/>
      </c>
      <c r="C230" s="6" t="str">
        <f t="shared" si="42"/>
        <v/>
      </c>
      <c r="D230" s="6"/>
      <c r="E230" s="6"/>
      <c r="F230" s="6"/>
      <c r="G230" s="6"/>
      <c r="H230" s="6" t="str">
        <f t="shared" si="43"/>
        <v/>
      </c>
      <c r="I230" s="6" t="str">
        <f t="shared" ca="1" si="44"/>
        <v/>
      </c>
      <c r="J230" s="3" t="str">
        <f t="shared" si="45"/>
        <v/>
      </c>
      <c r="K230" s="6" t="str">
        <f>IF(A230="","",VLOOKUP(J230,[1]Initiated!$A:$Y,2,0))</f>
        <v/>
      </c>
      <c r="L230" s="2" t="str">
        <f>IF(A230="","",VLOOKUP(J230,[1]Initiated!$A:$Y,5,FALSE))</f>
        <v/>
      </c>
      <c r="M230" s="6" t="str">
        <f>IF(A230="","",VLOOKUP(J230,[1]Initiated!$A:$Y,6,FALSE))</f>
        <v/>
      </c>
      <c r="N230" s="6" t="str">
        <f>IF(A230="","",VLOOKUP(J230,[1]Initiated!$A:$Y,9,FALSE))</f>
        <v/>
      </c>
      <c r="O230" s="3" t="str">
        <f t="shared" si="46"/>
        <v/>
      </c>
      <c r="P230" s="6" t="str">
        <f>IF(OR(A230="", ISNUMBER(SEARCH("PFr", C230))), "", VLOOKUP(J230, [1]Initiated!$A:$Y, 7, FALSE))</f>
        <v/>
      </c>
      <c r="Q230" s="6" t="str">
        <f>IF(OR(A230="", ISNUMBER(SEARCH("PFr", C230))), "", VLOOKUP(J230, [1]Initiated!$A:$Y, 8, 0))</f>
        <v/>
      </c>
      <c r="R230" s="5" t="str">
        <f t="shared" si="47"/>
        <v/>
      </c>
      <c r="S230" s="4" t="str">
        <f>IF(A230="","",VLOOKUP(J230,[1]Initiated!$A:$Y,3,FALSE))</f>
        <v/>
      </c>
      <c r="T230" s="4" t="str">
        <f t="shared" ca="1" si="48"/>
        <v/>
      </c>
      <c r="U230" s="5" t="str">
        <f t="shared" si="49"/>
        <v/>
      </c>
      <c r="V230" s="5" t="str">
        <f t="shared" si="50"/>
        <v/>
      </c>
      <c r="W230" s="4" t="str">
        <f>IF(A230="","",VLOOKUP(J230,[1]Initiated!$A:$Y,10,0))</f>
        <v/>
      </c>
      <c r="X230" s="5" t="str">
        <f t="shared" si="51"/>
        <v/>
      </c>
    </row>
    <row r="231" spans="1:24" x14ac:dyDescent="0.25">
      <c r="A231" s="6"/>
      <c r="B231" s="6" t="str">
        <f t="shared" si="41"/>
        <v/>
      </c>
      <c r="C231" s="6" t="str">
        <f t="shared" si="42"/>
        <v/>
      </c>
      <c r="D231" s="6"/>
      <c r="E231" s="6"/>
      <c r="F231" s="6"/>
      <c r="G231" s="6"/>
      <c r="H231" s="6" t="str">
        <f t="shared" si="43"/>
        <v/>
      </c>
      <c r="I231" s="6" t="str">
        <f t="shared" ca="1" si="44"/>
        <v/>
      </c>
      <c r="J231" s="3" t="str">
        <f t="shared" si="45"/>
        <v/>
      </c>
      <c r="K231" s="6" t="str">
        <f>IF(A231="","",VLOOKUP(J231,[1]Initiated!$A:$Y,2,0))</f>
        <v/>
      </c>
      <c r="L231" s="2" t="str">
        <f>IF(A231="","",VLOOKUP(J231,[1]Initiated!$A:$Y,5,FALSE))</f>
        <v/>
      </c>
      <c r="M231" s="6" t="str">
        <f>IF(A231="","",VLOOKUP(J231,[1]Initiated!$A:$Y,6,FALSE))</f>
        <v/>
      </c>
      <c r="N231" s="6" t="str">
        <f>IF(A231="","",VLOOKUP(J231,[1]Initiated!$A:$Y,9,FALSE))</f>
        <v/>
      </c>
      <c r="O231" s="3" t="str">
        <f t="shared" si="46"/>
        <v/>
      </c>
      <c r="P231" s="6" t="str">
        <f>IF(OR(A231="", ISNUMBER(SEARCH("PFr", C231))), "", VLOOKUP(J231, [1]Initiated!$A:$Y, 7, FALSE))</f>
        <v/>
      </c>
      <c r="Q231" s="6" t="str">
        <f>IF(OR(A231="", ISNUMBER(SEARCH("PFr", C231))), "", VLOOKUP(J231, [1]Initiated!$A:$Y, 8, 0))</f>
        <v/>
      </c>
      <c r="R231" s="5" t="str">
        <f t="shared" si="47"/>
        <v/>
      </c>
      <c r="S231" s="4" t="str">
        <f>IF(A231="","",VLOOKUP(J231,[1]Initiated!$A:$Y,3,FALSE))</f>
        <v/>
      </c>
      <c r="T231" s="4" t="str">
        <f t="shared" ca="1" si="48"/>
        <v/>
      </c>
      <c r="U231" s="5" t="str">
        <f t="shared" si="49"/>
        <v/>
      </c>
      <c r="V231" s="5" t="str">
        <f t="shared" si="50"/>
        <v/>
      </c>
      <c r="W231" s="4" t="str">
        <f>IF(A231="","",VLOOKUP(J231,[1]Initiated!$A:$Y,10,0))</f>
        <v/>
      </c>
      <c r="X231" s="5" t="str">
        <f t="shared" si="51"/>
        <v/>
      </c>
    </row>
    <row r="232" spans="1:24" x14ac:dyDescent="0.25">
      <c r="A232" s="6"/>
      <c r="B232" s="6" t="str">
        <f t="shared" si="41"/>
        <v/>
      </c>
      <c r="C232" s="6" t="str">
        <f t="shared" si="42"/>
        <v/>
      </c>
      <c r="D232" s="6"/>
      <c r="E232" s="6"/>
      <c r="F232" s="6"/>
      <c r="G232" s="6"/>
      <c r="H232" s="6" t="str">
        <f t="shared" si="43"/>
        <v/>
      </c>
      <c r="I232" s="6" t="str">
        <f t="shared" ca="1" si="44"/>
        <v/>
      </c>
      <c r="J232" s="3" t="str">
        <f t="shared" si="45"/>
        <v/>
      </c>
      <c r="K232" s="6" t="str">
        <f>IF(A232="","",VLOOKUP(J232,[1]Initiated!$A:$Y,2,0))</f>
        <v/>
      </c>
      <c r="L232" s="2" t="str">
        <f>IF(A232="","",VLOOKUP(J232,[1]Initiated!$A:$Y,5,FALSE))</f>
        <v/>
      </c>
      <c r="M232" s="6" t="str">
        <f>IF(A232="","",VLOOKUP(J232,[1]Initiated!$A:$Y,6,FALSE))</f>
        <v/>
      </c>
      <c r="N232" s="6" t="str">
        <f>IF(A232="","",VLOOKUP(J232,[1]Initiated!$A:$Y,9,FALSE))</f>
        <v/>
      </c>
      <c r="O232" s="3" t="str">
        <f t="shared" si="46"/>
        <v/>
      </c>
      <c r="P232" s="6" t="str">
        <f>IF(OR(A232="", ISNUMBER(SEARCH("PFr", C232))), "", VLOOKUP(J232, [1]Initiated!$A:$Y, 7, FALSE))</f>
        <v/>
      </c>
      <c r="Q232" s="6" t="str">
        <f>IF(OR(A232="", ISNUMBER(SEARCH("PFr", C232))), "", VLOOKUP(J232, [1]Initiated!$A:$Y, 8, 0))</f>
        <v/>
      </c>
      <c r="R232" s="5" t="str">
        <f t="shared" si="47"/>
        <v/>
      </c>
      <c r="S232" s="4" t="str">
        <f>IF(A232="","",VLOOKUP(J232,[1]Initiated!$A:$Y,3,FALSE))</f>
        <v/>
      </c>
      <c r="T232" s="4" t="str">
        <f t="shared" ca="1" si="48"/>
        <v/>
      </c>
      <c r="U232" s="5" t="str">
        <f t="shared" si="49"/>
        <v/>
      </c>
      <c r="V232" s="5" t="str">
        <f t="shared" si="50"/>
        <v/>
      </c>
      <c r="W232" s="4" t="str">
        <f>IF(A232="","",VLOOKUP(J232,[1]Initiated!$A:$Y,10,0))</f>
        <v/>
      </c>
      <c r="X232" s="5" t="str">
        <f t="shared" si="51"/>
        <v/>
      </c>
    </row>
    <row r="233" spans="1:24" x14ac:dyDescent="0.25">
      <c r="A233" s="6"/>
      <c r="B233" s="6" t="str">
        <f t="shared" si="41"/>
        <v/>
      </c>
      <c r="C233" s="6" t="str">
        <f t="shared" si="42"/>
        <v/>
      </c>
      <c r="D233" s="6"/>
      <c r="E233" s="6"/>
      <c r="F233" s="6"/>
      <c r="G233" s="6"/>
      <c r="H233" s="6" t="str">
        <f t="shared" si="43"/>
        <v/>
      </c>
      <c r="I233" s="6" t="str">
        <f t="shared" ca="1" si="44"/>
        <v/>
      </c>
      <c r="J233" s="3" t="str">
        <f t="shared" si="45"/>
        <v/>
      </c>
      <c r="K233" s="6" t="str">
        <f>IF(A233="","",VLOOKUP(J233,[1]Initiated!$A:$Y,2,0))</f>
        <v/>
      </c>
      <c r="L233" s="2" t="str">
        <f>IF(A233="","",VLOOKUP(J233,[1]Initiated!$A:$Y,5,FALSE))</f>
        <v/>
      </c>
      <c r="M233" s="6" t="str">
        <f>IF(A233="","",VLOOKUP(J233,[1]Initiated!$A:$Y,6,FALSE))</f>
        <v/>
      </c>
      <c r="N233" s="6" t="str">
        <f>IF(A233="","",VLOOKUP(J233,[1]Initiated!$A:$Y,9,FALSE))</f>
        <v/>
      </c>
      <c r="O233" s="3" t="str">
        <f t="shared" si="46"/>
        <v/>
      </c>
      <c r="P233" s="6" t="str">
        <f>IF(OR(A233="", ISNUMBER(SEARCH("PFr", C233))), "", VLOOKUP(J233, [1]Initiated!$A:$Y, 7, FALSE))</f>
        <v/>
      </c>
      <c r="Q233" s="6" t="str">
        <f>IF(OR(A233="", ISNUMBER(SEARCH("PFr", C233))), "", VLOOKUP(J233, [1]Initiated!$A:$Y, 8, 0))</f>
        <v/>
      </c>
      <c r="R233" s="5" t="str">
        <f t="shared" si="47"/>
        <v/>
      </c>
      <c r="S233" s="4" t="str">
        <f>IF(A233="","",VLOOKUP(J233,[1]Initiated!$A:$Y,3,FALSE))</f>
        <v/>
      </c>
      <c r="T233" s="4" t="str">
        <f t="shared" ca="1" si="48"/>
        <v/>
      </c>
      <c r="U233" s="5" t="str">
        <f t="shared" si="49"/>
        <v/>
      </c>
      <c r="V233" s="5" t="str">
        <f t="shared" si="50"/>
        <v/>
      </c>
      <c r="W233" s="4" t="str">
        <f>IF(A233="","",VLOOKUP(J233,[1]Initiated!$A:$Y,10,0))</f>
        <v/>
      </c>
      <c r="X233" s="5" t="str">
        <f t="shared" si="51"/>
        <v/>
      </c>
    </row>
    <row r="234" spans="1:24" x14ac:dyDescent="0.25">
      <c r="A234" s="6"/>
      <c r="B234" s="6" t="str">
        <f t="shared" si="41"/>
        <v/>
      </c>
      <c r="C234" s="6" t="str">
        <f t="shared" si="42"/>
        <v/>
      </c>
      <c r="D234" s="6"/>
      <c r="E234" s="6"/>
      <c r="F234" s="6"/>
      <c r="G234" s="6"/>
      <c r="H234" s="6" t="str">
        <f t="shared" si="43"/>
        <v/>
      </c>
      <c r="I234" s="6" t="str">
        <f t="shared" ca="1" si="44"/>
        <v/>
      </c>
      <c r="J234" s="3" t="str">
        <f t="shared" si="45"/>
        <v/>
      </c>
      <c r="K234" s="6" t="str">
        <f>IF(A234="","",VLOOKUP(J234,[1]Initiated!$A:$Y,2,0))</f>
        <v/>
      </c>
      <c r="L234" s="2" t="str">
        <f>IF(A234="","",VLOOKUP(J234,[1]Initiated!$A:$Y,5,FALSE))</f>
        <v/>
      </c>
      <c r="M234" s="6" t="str">
        <f>IF(A234="","",VLOOKUP(J234,[1]Initiated!$A:$Y,6,FALSE))</f>
        <v/>
      </c>
      <c r="N234" s="6" t="str">
        <f>IF(A234="","",VLOOKUP(J234,[1]Initiated!$A:$Y,9,FALSE))</f>
        <v/>
      </c>
      <c r="O234" s="3" t="str">
        <f t="shared" si="46"/>
        <v/>
      </c>
      <c r="P234" s="6" t="str">
        <f>IF(OR(A234="", ISNUMBER(SEARCH("PFr", C234))), "", VLOOKUP(J234, [1]Initiated!$A:$Y, 7, FALSE))</f>
        <v/>
      </c>
      <c r="Q234" s="6" t="str">
        <f>IF(OR(A234="", ISNUMBER(SEARCH("PFr", C234))), "", VLOOKUP(J234, [1]Initiated!$A:$Y, 8, 0))</f>
        <v/>
      </c>
      <c r="R234" s="5" t="str">
        <f t="shared" si="47"/>
        <v/>
      </c>
      <c r="S234" s="4" t="str">
        <f>IF(A234="","",VLOOKUP(J234,[1]Initiated!$A:$Y,3,FALSE))</f>
        <v/>
      </c>
      <c r="T234" s="4" t="str">
        <f t="shared" ca="1" si="48"/>
        <v/>
      </c>
      <c r="U234" s="5" t="str">
        <f t="shared" si="49"/>
        <v/>
      </c>
      <c r="V234" s="5" t="str">
        <f t="shared" si="50"/>
        <v/>
      </c>
      <c r="W234" s="4" t="str">
        <f>IF(A234="","",VLOOKUP(J234,[1]Initiated!$A:$Y,10,0))</f>
        <v/>
      </c>
      <c r="X234" s="5" t="str">
        <f t="shared" si="51"/>
        <v/>
      </c>
    </row>
    <row r="235" spans="1:24" x14ac:dyDescent="0.25">
      <c r="A235" s="6"/>
      <c r="B235" s="6" t="str">
        <f t="shared" si="41"/>
        <v/>
      </c>
      <c r="C235" s="6" t="str">
        <f t="shared" si="42"/>
        <v/>
      </c>
      <c r="D235" s="6"/>
      <c r="E235" s="6"/>
      <c r="F235" s="6"/>
      <c r="G235" s="6"/>
      <c r="H235" s="6" t="str">
        <f t="shared" si="43"/>
        <v/>
      </c>
      <c r="I235" s="6" t="str">
        <f t="shared" ca="1" si="44"/>
        <v/>
      </c>
      <c r="J235" s="3" t="str">
        <f t="shared" si="45"/>
        <v/>
      </c>
      <c r="K235" s="6" t="str">
        <f>IF(A235="","",VLOOKUP(J235,[1]Initiated!$A:$Y,2,0))</f>
        <v/>
      </c>
      <c r="L235" s="2" t="str">
        <f>IF(A235="","",VLOOKUP(J235,[1]Initiated!$A:$Y,5,FALSE))</f>
        <v/>
      </c>
      <c r="M235" s="6" t="str">
        <f>IF(A235="","",VLOOKUP(J235,[1]Initiated!$A:$Y,6,FALSE))</f>
        <v/>
      </c>
      <c r="N235" s="6" t="str">
        <f>IF(A235="","",VLOOKUP(J235,[1]Initiated!$A:$Y,9,FALSE))</f>
        <v/>
      </c>
      <c r="O235" s="3" t="str">
        <f t="shared" si="46"/>
        <v/>
      </c>
      <c r="P235" s="6" t="str">
        <f>IF(OR(A235="", ISNUMBER(SEARCH("PFr", C235))), "", VLOOKUP(J235, [1]Initiated!$A:$Y, 7, FALSE))</f>
        <v/>
      </c>
      <c r="Q235" s="6" t="str">
        <f>IF(OR(A235="", ISNUMBER(SEARCH("PFr", C235))), "", VLOOKUP(J235, [1]Initiated!$A:$Y, 8, 0))</f>
        <v/>
      </c>
      <c r="R235" s="5" t="str">
        <f t="shared" si="47"/>
        <v/>
      </c>
      <c r="S235" s="4" t="str">
        <f>IF(A235="","",VLOOKUP(J235,[1]Initiated!$A:$Y,3,FALSE))</f>
        <v/>
      </c>
      <c r="T235" s="4" t="str">
        <f t="shared" ca="1" si="48"/>
        <v/>
      </c>
      <c r="U235" s="5" t="str">
        <f t="shared" si="49"/>
        <v/>
      </c>
      <c r="V235" s="5" t="str">
        <f t="shared" si="50"/>
        <v/>
      </c>
      <c r="W235" s="4" t="str">
        <f>IF(A235="","",VLOOKUP(J235,[1]Initiated!$A:$Y,10,0))</f>
        <v/>
      </c>
      <c r="X235" s="5" t="str">
        <f t="shared" si="51"/>
        <v/>
      </c>
    </row>
    <row r="236" spans="1:24" x14ac:dyDescent="0.25">
      <c r="A236" s="6"/>
      <c r="B236" s="6" t="str">
        <f t="shared" si="41"/>
        <v/>
      </c>
      <c r="C236" s="6" t="str">
        <f t="shared" si="42"/>
        <v/>
      </c>
      <c r="D236" s="6"/>
      <c r="E236" s="6"/>
      <c r="F236" s="6"/>
      <c r="G236" s="6"/>
      <c r="H236" s="6" t="str">
        <f t="shared" si="43"/>
        <v/>
      </c>
      <c r="I236" s="6" t="str">
        <f t="shared" ca="1" si="44"/>
        <v/>
      </c>
      <c r="J236" s="3" t="str">
        <f t="shared" si="45"/>
        <v/>
      </c>
      <c r="K236" s="6" t="str">
        <f>IF(A236="","",VLOOKUP(J236,[1]Initiated!$A:$Y,2,0))</f>
        <v/>
      </c>
      <c r="L236" s="2" t="str">
        <f>IF(A236="","",VLOOKUP(J236,[1]Initiated!$A:$Y,5,FALSE))</f>
        <v/>
      </c>
      <c r="M236" s="6" t="str">
        <f>IF(A236="","",VLOOKUP(J236,[1]Initiated!$A:$Y,6,FALSE))</f>
        <v/>
      </c>
      <c r="N236" s="6" t="str">
        <f>IF(A236="","",VLOOKUP(J236,[1]Initiated!$A:$Y,9,FALSE))</f>
        <v/>
      </c>
      <c r="O236" s="3" t="str">
        <f t="shared" si="46"/>
        <v/>
      </c>
      <c r="P236" s="6" t="str">
        <f>IF(OR(A236="", ISNUMBER(SEARCH("PFr", C236))), "", VLOOKUP(J236, [1]Initiated!$A:$Y, 7, FALSE))</f>
        <v/>
      </c>
      <c r="Q236" s="6" t="str">
        <f>IF(OR(A236="", ISNUMBER(SEARCH("PFr", C236))), "", VLOOKUP(J236, [1]Initiated!$A:$Y, 8, 0))</f>
        <v/>
      </c>
      <c r="R236" s="5" t="str">
        <f t="shared" si="47"/>
        <v/>
      </c>
      <c r="S236" s="4" t="str">
        <f>IF(A236="","",VLOOKUP(J236,[1]Initiated!$A:$Y,3,FALSE))</f>
        <v/>
      </c>
      <c r="T236" s="4" t="str">
        <f t="shared" ca="1" si="48"/>
        <v/>
      </c>
      <c r="U236" s="5" t="str">
        <f t="shared" si="49"/>
        <v/>
      </c>
      <c r="V236" s="5" t="str">
        <f t="shared" si="50"/>
        <v/>
      </c>
      <c r="W236" s="4" t="str">
        <f>IF(A236="","",VLOOKUP(J236,[1]Initiated!$A:$Y,10,0))</f>
        <v/>
      </c>
      <c r="X236" s="5" t="str">
        <f t="shared" si="51"/>
        <v/>
      </c>
    </row>
    <row r="237" spans="1:24" x14ac:dyDescent="0.25">
      <c r="A237" s="6"/>
      <c r="B237" s="6" t="str">
        <f t="shared" si="41"/>
        <v/>
      </c>
      <c r="C237" s="6" t="str">
        <f t="shared" si="42"/>
        <v/>
      </c>
      <c r="D237" s="6"/>
      <c r="E237" s="6"/>
      <c r="F237" s="6"/>
      <c r="G237" s="6"/>
      <c r="H237" s="6" t="str">
        <f t="shared" si="43"/>
        <v/>
      </c>
      <c r="I237" s="6" t="str">
        <f t="shared" ca="1" si="44"/>
        <v/>
      </c>
      <c r="J237" s="3" t="str">
        <f t="shared" si="45"/>
        <v/>
      </c>
      <c r="K237" s="6" t="str">
        <f>IF(A237="","",VLOOKUP(J237,[1]Initiated!$A:$Y,2,0))</f>
        <v/>
      </c>
      <c r="L237" s="2" t="str">
        <f>IF(A237="","",VLOOKUP(J237,[1]Initiated!$A:$Y,5,FALSE))</f>
        <v/>
      </c>
      <c r="M237" s="6" t="str">
        <f>IF(A237="","",VLOOKUP(J237,[1]Initiated!$A:$Y,6,FALSE))</f>
        <v/>
      </c>
      <c r="N237" s="6" t="str">
        <f>IF(A237="","",VLOOKUP(J237,[1]Initiated!$A:$Y,9,FALSE))</f>
        <v/>
      </c>
      <c r="O237" s="3" t="str">
        <f t="shared" si="46"/>
        <v/>
      </c>
      <c r="P237" s="6" t="str">
        <f>IF(OR(A237="", ISNUMBER(SEARCH("PFr", C237))), "", VLOOKUP(J237, [1]Initiated!$A:$Y, 7, FALSE))</f>
        <v/>
      </c>
      <c r="Q237" s="6" t="str">
        <f>IF(OR(A237="", ISNUMBER(SEARCH("PFr", C237))), "", VLOOKUP(J237, [1]Initiated!$A:$Y, 8, 0))</f>
        <v/>
      </c>
      <c r="R237" s="5" t="str">
        <f t="shared" si="47"/>
        <v/>
      </c>
      <c r="S237" s="4" t="str">
        <f>IF(A237="","",VLOOKUP(J237,[1]Initiated!$A:$Y,3,FALSE))</f>
        <v/>
      </c>
      <c r="T237" s="4" t="str">
        <f t="shared" ca="1" si="48"/>
        <v/>
      </c>
      <c r="U237" s="5" t="str">
        <f t="shared" si="49"/>
        <v/>
      </c>
      <c r="V237" s="5" t="str">
        <f t="shared" si="50"/>
        <v/>
      </c>
      <c r="W237" s="4" t="str">
        <f>IF(A237="","",VLOOKUP(J237,[1]Initiated!$A:$Y,10,0))</f>
        <v/>
      </c>
      <c r="X237" s="5" t="str">
        <f t="shared" si="51"/>
        <v/>
      </c>
    </row>
    <row r="238" spans="1:24" x14ac:dyDescent="0.25">
      <c r="A238" s="6"/>
      <c r="B238" s="6" t="str">
        <f t="shared" si="41"/>
        <v/>
      </c>
      <c r="C238" s="6" t="str">
        <f t="shared" si="42"/>
        <v/>
      </c>
      <c r="D238" s="6"/>
      <c r="E238" s="6"/>
      <c r="F238" s="6"/>
      <c r="G238" s="6"/>
      <c r="H238" s="6" t="str">
        <f t="shared" si="43"/>
        <v/>
      </c>
      <c r="I238" s="6" t="str">
        <f t="shared" ca="1" si="44"/>
        <v/>
      </c>
      <c r="J238" s="3" t="str">
        <f t="shared" si="45"/>
        <v/>
      </c>
      <c r="K238" s="6" t="str">
        <f>IF(A238="","",VLOOKUP(J238,[1]Initiated!$A:$Y,2,0))</f>
        <v/>
      </c>
      <c r="L238" s="2" t="str">
        <f>IF(A238="","",VLOOKUP(J238,[1]Initiated!$A:$Y,5,FALSE))</f>
        <v/>
      </c>
      <c r="M238" s="6" t="str">
        <f>IF(A238="","",VLOOKUP(J238,[1]Initiated!$A:$Y,6,FALSE))</f>
        <v/>
      </c>
      <c r="N238" s="6" t="str">
        <f>IF(A238="","",VLOOKUP(J238,[1]Initiated!$A:$Y,9,FALSE))</f>
        <v/>
      </c>
      <c r="O238" s="3" t="str">
        <f t="shared" si="46"/>
        <v/>
      </c>
      <c r="P238" s="6" t="str">
        <f>IF(OR(A238="", ISNUMBER(SEARCH("PFr", C238))), "", VLOOKUP(J238, [1]Initiated!$A:$Y, 7, FALSE))</f>
        <v/>
      </c>
      <c r="Q238" s="6" t="str">
        <f>IF(OR(A238="", ISNUMBER(SEARCH("PFr", C238))), "", VLOOKUP(J238, [1]Initiated!$A:$Y, 8, 0))</f>
        <v/>
      </c>
      <c r="R238" s="5" t="str">
        <f t="shared" si="47"/>
        <v/>
      </c>
      <c r="S238" s="4" t="str">
        <f>IF(A238="","",VLOOKUP(J238,[1]Initiated!$A:$Y,3,FALSE))</f>
        <v/>
      </c>
      <c r="T238" s="4" t="str">
        <f t="shared" ca="1" si="48"/>
        <v/>
      </c>
      <c r="U238" s="5" t="str">
        <f t="shared" si="49"/>
        <v/>
      </c>
      <c r="V238" s="5" t="str">
        <f t="shared" si="50"/>
        <v/>
      </c>
      <c r="W238" s="4" t="str">
        <f>IF(A238="","",VLOOKUP(J238,[1]Initiated!$A:$Y,10,0))</f>
        <v/>
      </c>
      <c r="X238" s="5" t="str">
        <f t="shared" si="51"/>
        <v/>
      </c>
    </row>
    <row r="239" spans="1:24" x14ac:dyDescent="0.25">
      <c r="A239" s="6"/>
      <c r="B239" s="6" t="str">
        <f t="shared" si="41"/>
        <v/>
      </c>
      <c r="C239" s="6" t="str">
        <f t="shared" si="42"/>
        <v/>
      </c>
      <c r="D239" s="6"/>
      <c r="E239" s="6"/>
      <c r="F239" s="6"/>
      <c r="G239" s="6"/>
      <c r="H239" s="6" t="str">
        <f t="shared" si="43"/>
        <v/>
      </c>
      <c r="I239" s="6" t="str">
        <f t="shared" ca="1" si="44"/>
        <v/>
      </c>
      <c r="J239" s="3" t="str">
        <f t="shared" si="45"/>
        <v/>
      </c>
      <c r="K239" s="6" t="str">
        <f>IF(A239="","",VLOOKUP(J239,[1]Initiated!$A:$Y,2,0))</f>
        <v/>
      </c>
      <c r="L239" s="2" t="str">
        <f>IF(A239="","",VLOOKUP(J239,[1]Initiated!$A:$Y,5,FALSE))</f>
        <v/>
      </c>
      <c r="M239" s="6" t="str">
        <f>IF(A239="","",VLOOKUP(J239,[1]Initiated!$A:$Y,6,FALSE))</f>
        <v/>
      </c>
      <c r="N239" s="6" t="str">
        <f>IF(A239="","",VLOOKUP(J239,[1]Initiated!$A:$Y,9,FALSE))</f>
        <v/>
      </c>
      <c r="O239" s="3" t="str">
        <f t="shared" si="46"/>
        <v/>
      </c>
      <c r="P239" s="6" t="str">
        <f>IF(OR(A239="", ISNUMBER(SEARCH("PFr", C239))), "", VLOOKUP(J239, [1]Initiated!$A:$Y, 7, FALSE))</f>
        <v/>
      </c>
      <c r="Q239" s="6" t="str">
        <f>IF(OR(A239="", ISNUMBER(SEARCH("PFr", C239))), "", VLOOKUP(J239, [1]Initiated!$A:$Y, 8, 0))</f>
        <v/>
      </c>
      <c r="R239" s="5" t="str">
        <f t="shared" si="47"/>
        <v/>
      </c>
      <c r="S239" s="4" t="str">
        <f>IF(A239="","",VLOOKUP(J239,[1]Initiated!$A:$Y,3,FALSE))</f>
        <v/>
      </c>
      <c r="T239" s="4" t="str">
        <f t="shared" ca="1" si="48"/>
        <v/>
      </c>
      <c r="U239" s="5" t="str">
        <f t="shared" si="49"/>
        <v/>
      </c>
      <c r="V239" s="5" t="str">
        <f t="shared" si="50"/>
        <v/>
      </c>
      <c r="W239" s="4" t="str">
        <f>IF(A239="","",VLOOKUP(J239,[1]Initiated!$A:$Y,10,0))</f>
        <v/>
      </c>
      <c r="X239" s="5" t="str">
        <f t="shared" si="51"/>
        <v/>
      </c>
    </row>
    <row r="240" spans="1:24" x14ac:dyDescent="0.25">
      <c r="A240" s="6"/>
      <c r="B240" s="6" t="str">
        <f t="shared" si="41"/>
        <v/>
      </c>
      <c r="C240" s="6" t="str">
        <f t="shared" si="42"/>
        <v/>
      </c>
      <c r="D240" s="6"/>
      <c r="E240" s="6"/>
      <c r="F240" s="6"/>
      <c r="G240" s="6"/>
      <c r="H240" s="6" t="str">
        <f t="shared" si="43"/>
        <v/>
      </c>
      <c r="I240" s="6" t="str">
        <f t="shared" ca="1" si="44"/>
        <v/>
      </c>
      <c r="J240" s="3" t="str">
        <f t="shared" si="45"/>
        <v/>
      </c>
      <c r="K240" s="6" t="str">
        <f>IF(A240="","",VLOOKUP(J240,[1]Initiated!$A:$Y,2,0))</f>
        <v/>
      </c>
      <c r="L240" s="2" t="str">
        <f>IF(A240="","",VLOOKUP(J240,[1]Initiated!$A:$Y,5,FALSE))</f>
        <v/>
      </c>
      <c r="M240" s="6" t="str">
        <f>IF(A240="","",VLOOKUP(J240,[1]Initiated!$A:$Y,6,FALSE))</f>
        <v/>
      </c>
      <c r="N240" s="6" t="str">
        <f>IF(A240="","",VLOOKUP(J240,[1]Initiated!$A:$Y,9,FALSE))</f>
        <v/>
      </c>
      <c r="O240" s="3" t="str">
        <f t="shared" si="46"/>
        <v/>
      </c>
      <c r="P240" s="6" t="str">
        <f>IF(OR(A240="", ISNUMBER(SEARCH("PFr", C240))), "", VLOOKUP(J240, [1]Initiated!$A:$Y, 7, FALSE))</f>
        <v/>
      </c>
      <c r="Q240" s="6" t="str">
        <f>IF(OR(A240="", ISNUMBER(SEARCH("PFr", C240))), "", VLOOKUP(J240, [1]Initiated!$A:$Y, 8, 0))</f>
        <v/>
      </c>
      <c r="R240" s="5" t="str">
        <f t="shared" si="47"/>
        <v/>
      </c>
      <c r="S240" s="4" t="str">
        <f>IF(A240="","",VLOOKUP(J240,[1]Initiated!$A:$Y,3,FALSE))</f>
        <v/>
      </c>
      <c r="T240" s="4" t="str">
        <f t="shared" ca="1" si="48"/>
        <v/>
      </c>
      <c r="U240" s="5" t="str">
        <f t="shared" si="49"/>
        <v/>
      </c>
      <c r="V240" s="5" t="str">
        <f t="shared" si="50"/>
        <v/>
      </c>
      <c r="W240" s="4" t="str">
        <f>IF(A240="","",VLOOKUP(J240,[1]Initiated!$A:$Y,10,0))</f>
        <v/>
      </c>
      <c r="X240" s="5" t="str">
        <f t="shared" si="51"/>
        <v/>
      </c>
    </row>
    <row r="241" spans="1:24" x14ac:dyDescent="0.25">
      <c r="A241" s="6"/>
      <c r="B241" s="6" t="str">
        <f t="shared" si="41"/>
        <v/>
      </c>
      <c r="C241" s="6" t="str">
        <f t="shared" si="42"/>
        <v/>
      </c>
      <c r="D241" s="6"/>
      <c r="E241" s="6"/>
      <c r="F241" s="6"/>
      <c r="G241" s="6"/>
      <c r="H241" s="6" t="str">
        <f t="shared" si="43"/>
        <v/>
      </c>
      <c r="I241" s="6" t="str">
        <f t="shared" ca="1" si="44"/>
        <v/>
      </c>
      <c r="J241" s="3" t="str">
        <f t="shared" si="45"/>
        <v/>
      </c>
      <c r="K241" s="6" t="str">
        <f>IF(A241="","",VLOOKUP(J241,[1]Initiated!$A:$Y,2,0))</f>
        <v/>
      </c>
      <c r="L241" s="2" t="str">
        <f>IF(A241="","",VLOOKUP(J241,[1]Initiated!$A:$Y,5,FALSE))</f>
        <v/>
      </c>
      <c r="M241" s="6" t="str">
        <f>IF(A241="","",VLOOKUP(J241,[1]Initiated!$A:$Y,6,FALSE))</f>
        <v/>
      </c>
      <c r="N241" s="6" t="str">
        <f>IF(A241="","",VLOOKUP(J241,[1]Initiated!$A:$Y,9,FALSE))</f>
        <v/>
      </c>
      <c r="O241" s="3" t="str">
        <f t="shared" si="46"/>
        <v/>
      </c>
      <c r="P241" s="6" t="str">
        <f>IF(OR(A241="", ISNUMBER(SEARCH("PFr", C241))), "", VLOOKUP(J241, [1]Initiated!$A:$Y, 7, FALSE))</f>
        <v/>
      </c>
      <c r="Q241" s="6" t="str">
        <f>IF(OR(A241="", ISNUMBER(SEARCH("PFr", C241))), "", VLOOKUP(J241, [1]Initiated!$A:$Y, 8, 0))</f>
        <v/>
      </c>
      <c r="R241" s="5" t="str">
        <f t="shared" si="47"/>
        <v/>
      </c>
      <c r="S241" s="4" t="str">
        <f>IF(A241="","",VLOOKUP(J241,[1]Initiated!$A:$Y,3,FALSE))</f>
        <v/>
      </c>
      <c r="T241" s="4" t="str">
        <f t="shared" ca="1" si="48"/>
        <v/>
      </c>
      <c r="U241" s="5" t="str">
        <f t="shared" si="49"/>
        <v/>
      </c>
      <c r="V241" s="5" t="str">
        <f t="shared" si="50"/>
        <v/>
      </c>
      <c r="W241" s="4" t="str">
        <f>IF(A241="","",VLOOKUP(J241,[1]Initiated!$A:$Y,10,0))</f>
        <v/>
      </c>
      <c r="X241" s="5" t="str">
        <f t="shared" si="51"/>
        <v/>
      </c>
    </row>
    <row r="242" spans="1:24" x14ac:dyDescent="0.25">
      <c r="A242" s="6"/>
      <c r="B242" s="6" t="str">
        <f t="shared" si="41"/>
        <v/>
      </c>
      <c r="C242" s="6" t="str">
        <f t="shared" si="42"/>
        <v/>
      </c>
      <c r="D242" s="6"/>
      <c r="E242" s="6"/>
      <c r="F242" s="6"/>
      <c r="G242" s="6"/>
      <c r="H242" s="6" t="str">
        <f t="shared" si="43"/>
        <v/>
      </c>
      <c r="I242" s="6" t="str">
        <f t="shared" ca="1" si="44"/>
        <v/>
      </c>
      <c r="J242" s="3" t="str">
        <f t="shared" si="45"/>
        <v/>
      </c>
      <c r="K242" s="6" t="str">
        <f>IF(A242="","",VLOOKUP(J242,[1]Initiated!$A:$Y,2,0))</f>
        <v/>
      </c>
      <c r="L242" s="2" t="str">
        <f>IF(A242="","",VLOOKUP(J242,[1]Initiated!$A:$Y,5,FALSE))</f>
        <v/>
      </c>
      <c r="M242" s="6" t="str">
        <f>IF(A242="","",VLOOKUP(J242,[1]Initiated!$A:$Y,6,FALSE))</f>
        <v/>
      </c>
      <c r="N242" s="6" t="str">
        <f>IF(A242="","",VLOOKUP(J242,[1]Initiated!$A:$Y,9,FALSE))</f>
        <v/>
      </c>
      <c r="O242" s="3" t="str">
        <f t="shared" si="46"/>
        <v/>
      </c>
      <c r="P242" s="6" t="str">
        <f>IF(OR(A242="", ISNUMBER(SEARCH("PFr", C242))), "", VLOOKUP(J242, [1]Initiated!$A:$Y, 7, FALSE))</f>
        <v/>
      </c>
      <c r="Q242" s="6" t="str">
        <f>IF(OR(A242="", ISNUMBER(SEARCH("PFr", C242))), "", VLOOKUP(J242, [1]Initiated!$A:$Y, 8, 0))</f>
        <v/>
      </c>
      <c r="R242" s="5" t="str">
        <f t="shared" si="47"/>
        <v/>
      </c>
      <c r="S242" s="4" t="str">
        <f>IF(A242="","",VLOOKUP(J242,[1]Initiated!$A:$Y,3,FALSE))</f>
        <v/>
      </c>
      <c r="T242" s="4" t="str">
        <f t="shared" ca="1" si="48"/>
        <v/>
      </c>
      <c r="U242" s="5" t="str">
        <f t="shared" si="49"/>
        <v/>
      </c>
      <c r="V242" s="5" t="str">
        <f t="shared" si="50"/>
        <v/>
      </c>
      <c r="W242" s="4" t="str">
        <f>IF(A242="","",VLOOKUP(J242,[1]Initiated!$A:$Y,10,0))</f>
        <v/>
      </c>
      <c r="X242" s="5" t="str">
        <f t="shared" si="51"/>
        <v/>
      </c>
    </row>
    <row r="243" spans="1:24" x14ac:dyDescent="0.25">
      <c r="A243" s="6"/>
      <c r="B243" s="6" t="str">
        <f t="shared" si="41"/>
        <v/>
      </c>
      <c r="C243" s="6" t="str">
        <f t="shared" si="42"/>
        <v/>
      </c>
      <c r="D243" s="6"/>
      <c r="E243" s="6"/>
      <c r="F243" s="6"/>
      <c r="G243" s="6"/>
      <c r="H243" s="6" t="str">
        <f t="shared" si="43"/>
        <v/>
      </c>
      <c r="I243" s="6" t="str">
        <f t="shared" ca="1" si="44"/>
        <v/>
      </c>
      <c r="J243" s="3" t="str">
        <f t="shared" si="45"/>
        <v/>
      </c>
      <c r="K243" s="6" t="str">
        <f>IF(A243="","",VLOOKUP(J243,[1]Initiated!$A:$Y,2,0))</f>
        <v/>
      </c>
      <c r="L243" s="2" t="str">
        <f>IF(A243="","",VLOOKUP(J243,[1]Initiated!$A:$Y,5,FALSE))</f>
        <v/>
      </c>
      <c r="M243" s="6" t="str">
        <f>IF(A243="","",VLOOKUP(J243,[1]Initiated!$A:$Y,6,FALSE))</f>
        <v/>
      </c>
      <c r="N243" s="6" t="str">
        <f>IF(A243="","",VLOOKUP(J243,[1]Initiated!$A:$Y,9,FALSE))</f>
        <v/>
      </c>
      <c r="O243" s="3" t="str">
        <f t="shared" si="46"/>
        <v/>
      </c>
      <c r="P243" s="6" t="str">
        <f>IF(OR(A243="", ISNUMBER(SEARCH("PFr", C243))), "", VLOOKUP(J243, [1]Initiated!$A:$Y, 7, FALSE))</f>
        <v/>
      </c>
      <c r="Q243" s="6" t="str">
        <f>IF(OR(A243="", ISNUMBER(SEARCH("PFr", C243))), "", VLOOKUP(J243, [1]Initiated!$A:$Y, 8, 0))</f>
        <v/>
      </c>
      <c r="R243" s="5" t="str">
        <f t="shared" si="47"/>
        <v/>
      </c>
      <c r="S243" s="4" t="str">
        <f>IF(A243="","",VLOOKUP(J243,[1]Initiated!$A:$Y,3,FALSE))</f>
        <v/>
      </c>
      <c r="T243" s="4" t="str">
        <f t="shared" ca="1" si="48"/>
        <v/>
      </c>
      <c r="U243" s="5" t="str">
        <f t="shared" si="49"/>
        <v/>
      </c>
      <c r="V243" s="5" t="str">
        <f t="shared" si="50"/>
        <v/>
      </c>
      <c r="W243" s="4" t="str">
        <f>IF(A243="","",VLOOKUP(J243,[1]Initiated!$A:$Y,10,0))</f>
        <v/>
      </c>
      <c r="X243" s="5" t="str">
        <f t="shared" si="51"/>
        <v/>
      </c>
    </row>
    <row r="244" spans="1:24" x14ac:dyDescent="0.25">
      <c r="A244" s="6"/>
      <c r="B244" s="6" t="str">
        <f t="shared" si="41"/>
        <v/>
      </c>
      <c r="C244" s="6" t="str">
        <f t="shared" si="42"/>
        <v/>
      </c>
      <c r="D244" s="6"/>
      <c r="E244" s="6"/>
      <c r="F244" s="6"/>
      <c r="G244" s="6"/>
      <c r="H244" s="6" t="str">
        <f t="shared" si="43"/>
        <v/>
      </c>
      <c r="I244" s="6" t="str">
        <f t="shared" ca="1" si="44"/>
        <v/>
      </c>
      <c r="J244" s="3" t="str">
        <f t="shared" si="45"/>
        <v/>
      </c>
      <c r="K244" s="6" t="str">
        <f>IF(A244="","",VLOOKUP(J244,[1]Initiated!$A:$Y,2,0))</f>
        <v/>
      </c>
      <c r="L244" s="2" t="str">
        <f>IF(A244="","",VLOOKUP(J244,[1]Initiated!$A:$Y,5,FALSE))</f>
        <v/>
      </c>
      <c r="M244" s="6" t="str">
        <f>IF(A244="","",VLOOKUP(J244,[1]Initiated!$A:$Y,6,FALSE))</f>
        <v/>
      </c>
      <c r="N244" s="6" t="str">
        <f>IF(A244="","",VLOOKUP(J244,[1]Initiated!$A:$Y,9,FALSE))</f>
        <v/>
      </c>
      <c r="O244" s="3" t="str">
        <f t="shared" si="46"/>
        <v/>
      </c>
      <c r="P244" s="6" t="str">
        <f>IF(OR(A244="", ISNUMBER(SEARCH("PFr", C244))), "", VLOOKUP(J244, [1]Initiated!$A:$Y, 7, FALSE))</f>
        <v/>
      </c>
      <c r="Q244" s="6" t="str">
        <f>IF(OR(A244="", ISNUMBER(SEARCH("PFr", C244))), "", VLOOKUP(J244, [1]Initiated!$A:$Y, 8, 0))</f>
        <v/>
      </c>
      <c r="R244" s="5" t="str">
        <f t="shared" si="47"/>
        <v/>
      </c>
      <c r="S244" s="4" t="str">
        <f>IF(A244="","",VLOOKUP(J244,[1]Initiated!$A:$Y,3,FALSE))</f>
        <v/>
      </c>
      <c r="T244" s="4" t="str">
        <f t="shared" ca="1" si="48"/>
        <v/>
      </c>
      <c r="U244" s="5" t="str">
        <f t="shared" si="49"/>
        <v/>
      </c>
      <c r="V244" s="5" t="str">
        <f t="shared" si="50"/>
        <v/>
      </c>
      <c r="W244" s="4" t="str">
        <f>IF(A244="","",VLOOKUP(J244,[1]Initiated!$A:$Y,10,0))</f>
        <v/>
      </c>
      <c r="X244" s="5" t="str">
        <f t="shared" si="51"/>
        <v/>
      </c>
    </row>
    <row r="245" spans="1:24" x14ac:dyDescent="0.25">
      <c r="A245" s="6"/>
      <c r="B245" s="6" t="str">
        <f t="shared" si="41"/>
        <v/>
      </c>
      <c r="C245" s="6" t="str">
        <f t="shared" si="42"/>
        <v/>
      </c>
      <c r="D245" s="6"/>
      <c r="E245" s="6"/>
      <c r="F245" s="6"/>
      <c r="G245" s="6"/>
      <c r="H245" s="6" t="str">
        <f t="shared" si="43"/>
        <v/>
      </c>
      <c r="I245" s="6" t="str">
        <f t="shared" ca="1" si="44"/>
        <v/>
      </c>
      <c r="J245" s="3" t="str">
        <f t="shared" si="45"/>
        <v/>
      </c>
      <c r="K245" s="6" t="str">
        <f>IF(A245="","",VLOOKUP(J245,[1]Initiated!$A:$Y,2,0))</f>
        <v/>
      </c>
      <c r="L245" s="2" t="str">
        <f>IF(A245="","",VLOOKUP(J245,[1]Initiated!$A:$Y,5,FALSE))</f>
        <v/>
      </c>
      <c r="M245" s="6" t="str">
        <f>IF(A245="","",VLOOKUP(J245,[1]Initiated!$A:$Y,6,FALSE))</f>
        <v/>
      </c>
      <c r="N245" s="6" t="str">
        <f>IF(A245="","",VLOOKUP(J245,[1]Initiated!$A:$Y,9,FALSE))</f>
        <v/>
      </c>
      <c r="O245" s="3" t="str">
        <f t="shared" si="46"/>
        <v/>
      </c>
      <c r="P245" s="6" t="str">
        <f>IF(OR(A245="", ISNUMBER(SEARCH("PFr", C245))), "", VLOOKUP(J245, [1]Initiated!$A:$Y, 7, FALSE))</f>
        <v/>
      </c>
      <c r="Q245" s="6" t="str">
        <f>IF(OR(A245="", ISNUMBER(SEARCH("PFr", C245))), "", VLOOKUP(J245, [1]Initiated!$A:$Y, 8, 0))</f>
        <v/>
      </c>
      <c r="R245" s="5" t="str">
        <f t="shared" si="47"/>
        <v/>
      </c>
      <c r="S245" s="4" t="str">
        <f>IF(A245="","",VLOOKUP(J245,[1]Initiated!$A:$Y,3,FALSE))</f>
        <v/>
      </c>
      <c r="T245" s="4" t="str">
        <f t="shared" ca="1" si="48"/>
        <v/>
      </c>
      <c r="U245" s="5" t="str">
        <f t="shared" si="49"/>
        <v/>
      </c>
      <c r="V245" s="5" t="str">
        <f t="shared" si="50"/>
        <v/>
      </c>
      <c r="W245" s="4" t="str">
        <f>IF(A245="","",VLOOKUP(J245,[1]Initiated!$A:$Y,10,0))</f>
        <v/>
      </c>
      <c r="X245" s="5" t="str">
        <f t="shared" si="51"/>
        <v/>
      </c>
    </row>
    <row r="246" spans="1:24" x14ac:dyDescent="0.25">
      <c r="A246" s="6"/>
      <c r="B246" s="6" t="str">
        <f t="shared" si="41"/>
        <v/>
      </c>
      <c r="C246" s="6" t="str">
        <f t="shared" si="42"/>
        <v/>
      </c>
      <c r="D246" s="6"/>
      <c r="E246" s="6"/>
      <c r="F246" s="6"/>
      <c r="G246" s="6"/>
      <c r="H246" s="6" t="str">
        <f t="shared" si="43"/>
        <v/>
      </c>
      <c r="I246" s="6" t="str">
        <f t="shared" ca="1" si="44"/>
        <v/>
      </c>
      <c r="J246" s="3" t="str">
        <f t="shared" si="45"/>
        <v/>
      </c>
      <c r="K246" s="6" t="str">
        <f>IF(A246="","",VLOOKUP(J246,[1]Initiated!$A:$Y,2,0))</f>
        <v/>
      </c>
      <c r="L246" s="2" t="str">
        <f>IF(A246="","",VLOOKUP(J246,[1]Initiated!$A:$Y,5,FALSE))</f>
        <v/>
      </c>
      <c r="M246" s="6" t="str">
        <f>IF(A246="","",VLOOKUP(J246,[1]Initiated!$A:$Y,6,FALSE))</f>
        <v/>
      </c>
      <c r="N246" s="6" t="str">
        <f>IF(A246="","",VLOOKUP(J246,[1]Initiated!$A:$Y,9,FALSE))</f>
        <v/>
      </c>
      <c r="O246" s="3" t="str">
        <f t="shared" si="46"/>
        <v/>
      </c>
      <c r="P246" s="6" t="str">
        <f>IF(OR(A246="", ISNUMBER(SEARCH("PFr", C246))), "", VLOOKUP(J246, [1]Initiated!$A:$Y, 7, FALSE))</f>
        <v/>
      </c>
      <c r="Q246" s="6" t="str">
        <f>IF(OR(A246="", ISNUMBER(SEARCH("PFr", C246))), "", VLOOKUP(J246, [1]Initiated!$A:$Y, 8, 0))</f>
        <v/>
      </c>
      <c r="R246" s="5" t="str">
        <f t="shared" si="47"/>
        <v/>
      </c>
      <c r="S246" s="4" t="str">
        <f>IF(A246="","",VLOOKUP(J246,[1]Initiated!$A:$Y,3,FALSE))</f>
        <v/>
      </c>
      <c r="T246" s="4" t="str">
        <f t="shared" ca="1" si="48"/>
        <v/>
      </c>
      <c r="U246" s="5" t="str">
        <f t="shared" si="49"/>
        <v/>
      </c>
      <c r="V246" s="5" t="str">
        <f t="shared" si="50"/>
        <v/>
      </c>
      <c r="W246" s="4" t="str">
        <f>IF(A246="","",VLOOKUP(J246,[1]Initiated!$A:$Y,10,0))</f>
        <v/>
      </c>
      <c r="X246" s="5" t="str">
        <f t="shared" si="51"/>
        <v/>
      </c>
    </row>
    <row r="247" spans="1:24" x14ac:dyDescent="0.25">
      <c r="A247" s="6"/>
      <c r="B247" s="6" t="str">
        <f t="shared" si="41"/>
        <v/>
      </c>
      <c r="C247" s="6" t="str">
        <f t="shared" si="42"/>
        <v/>
      </c>
      <c r="D247" s="6"/>
      <c r="E247" s="6"/>
      <c r="F247" s="6"/>
      <c r="G247" s="6"/>
      <c r="H247" s="6" t="str">
        <f t="shared" si="43"/>
        <v/>
      </c>
      <c r="I247" s="6" t="str">
        <f t="shared" ca="1" si="44"/>
        <v/>
      </c>
      <c r="J247" s="3" t="str">
        <f t="shared" si="45"/>
        <v/>
      </c>
      <c r="K247" s="6" t="str">
        <f>IF(A247="","",VLOOKUP(J247,[1]Initiated!$A:$Y,2,0))</f>
        <v/>
      </c>
      <c r="L247" s="2" t="str">
        <f>IF(A247="","",VLOOKUP(J247,[1]Initiated!$A:$Y,5,FALSE))</f>
        <v/>
      </c>
      <c r="M247" s="6" t="str">
        <f>IF(A247="","",VLOOKUP(J247,[1]Initiated!$A:$Y,6,FALSE))</f>
        <v/>
      </c>
      <c r="N247" s="6" t="str">
        <f>IF(A247="","",VLOOKUP(J247,[1]Initiated!$A:$Y,9,FALSE))</f>
        <v/>
      </c>
      <c r="O247" s="3" t="str">
        <f t="shared" si="46"/>
        <v/>
      </c>
      <c r="P247" s="6" t="str">
        <f>IF(OR(A247="", ISNUMBER(SEARCH("PFr", C247))), "", VLOOKUP(J247, [1]Initiated!$A:$Y, 7, FALSE))</f>
        <v/>
      </c>
      <c r="Q247" s="6" t="str">
        <f>IF(OR(A247="", ISNUMBER(SEARCH("PFr", C247))), "", VLOOKUP(J247, [1]Initiated!$A:$Y, 8, 0))</f>
        <v/>
      </c>
      <c r="R247" s="5" t="str">
        <f t="shared" si="47"/>
        <v/>
      </c>
      <c r="S247" s="4" t="str">
        <f>IF(A247="","",VLOOKUP(J247,[1]Initiated!$A:$Y,3,FALSE))</f>
        <v/>
      </c>
      <c r="T247" s="4" t="str">
        <f t="shared" ca="1" si="48"/>
        <v/>
      </c>
      <c r="U247" s="5" t="str">
        <f t="shared" si="49"/>
        <v/>
      </c>
      <c r="V247" s="5" t="str">
        <f t="shared" si="50"/>
        <v/>
      </c>
      <c r="W247" s="4" t="str">
        <f>IF(A247="","",VLOOKUP(J247,[1]Initiated!$A:$Y,10,0))</f>
        <v/>
      </c>
      <c r="X247" s="5" t="str">
        <f t="shared" si="51"/>
        <v/>
      </c>
    </row>
    <row r="248" spans="1:24" x14ac:dyDescent="0.25">
      <c r="A248" s="6"/>
      <c r="B248" s="6" t="str">
        <f t="shared" si="41"/>
        <v/>
      </c>
      <c r="C248" s="6" t="str">
        <f t="shared" si="42"/>
        <v/>
      </c>
      <c r="D248" s="6"/>
      <c r="E248" s="6"/>
      <c r="F248" s="6"/>
      <c r="G248" s="6"/>
      <c r="H248" s="6" t="str">
        <f t="shared" si="43"/>
        <v/>
      </c>
      <c r="I248" s="6" t="str">
        <f t="shared" ca="1" si="44"/>
        <v/>
      </c>
      <c r="J248" s="3" t="str">
        <f t="shared" si="45"/>
        <v/>
      </c>
      <c r="K248" s="6" t="str">
        <f>IF(A248="","",VLOOKUP(J248,[1]Initiated!$A:$Y,2,0))</f>
        <v/>
      </c>
      <c r="L248" s="2" t="str">
        <f>IF(A248="","",VLOOKUP(J248,[1]Initiated!$A:$Y,5,FALSE))</f>
        <v/>
      </c>
      <c r="M248" s="6" t="str">
        <f>IF(A248="","",VLOOKUP(J248,[1]Initiated!$A:$Y,6,FALSE))</f>
        <v/>
      </c>
      <c r="N248" s="6" t="str">
        <f>IF(A248="","",VLOOKUP(J248,[1]Initiated!$A:$Y,9,FALSE))</f>
        <v/>
      </c>
      <c r="O248" s="3" t="str">
        <f t="shared" si="46"/>
        <v/>
      </c>
      <c r="P248" s="6" t="str">
        <f>IF(OR(A248="", ISNUMBER(SEARCH("PFr", C248))), "", VLOOKUP(J248, [1]Initiated!$A:$Y, 7, FALSE))</f>
        <v/>
      </c>
      <c r="Q248" s="6" t="str">
        <f>IF(OR(A248="", ISNUMBER(SEARCH("PFr", C248))), "", VLOOKUP(J248, [1]Initiated!$A:$Y, 8, 0))</f>
        <v/>
      </c>
      <c r="R248" s="5" t="str">
        <f t="shared" si="47"/>
        <v/>
      </c>
      <c r="S248" s="4" t="str">
        <f>IF(A248="","",VLOOKUP(J248,[1]Initiated!$A:$Y,3,FALSE))</f>
        <v/>
      </c>
      <c r="T248" s="4" t="str">
        <f t="shared" ca="1" si="48"/>
        <v/>
      </c>
      <c r="U248" s="5" t="str">
        <f t="shared" si="49"/>
        <v/>
      </c>
      <c r="V248" s="5" t="str">
        <f t="shared" si="50"/>
        <v/>
      </c>
      <c r="W248" s="4" t="str">
        <f>IF(A248="","",VLOOKUP(J248,[1]Initiated!$A:$Y,10,0))</f>
        <v/>
      </c>
      <c r="X248" s="5" t="str">
        <f t="shared" si="51"/>
        <v/>
      </c>
    </row>
    <row r="249" spans="1:24" x14ac:dyDescent="0.25">
      <c r="A249" s="6"/>
      <c r="B249" s="6" t="str">
        <f t="shared" si="41"/>
        <v/>
      </c>
      <c r="C249" s="6" t="str">
        <f t="shared" si="42"/>
        <v/>
      </c>
      <c r="D249" s="6"/>
      <c r="E249" s="6"/>
      <c r="F249" s="6"/>
      <c r="G249" s="6"/>
      <c r="H249" s="6" t="str">
        <f t="shared" si="43"/>
        <v/>
      </c>
      <c r="I249" s="6" t="str">
        <f t="shared" ca="1" si="44"/>
        <v/>
      </c>
      <c r="J249" s="3" t="str">
        <f t="shared" si="45"/>
        <v/>
      </c>
      <c r="K249" s="6" t="str">
        <f>IF(A249="","",VLOOKUP(J249,[1]Initiated!$A:$Y,2,0))</f>
        <v/>
      </c>
      <c r="L249" s="2" t="str">
        <f>IF(A249="","",VLOOKUP(J249,[1]Initiated!$A:$Y,5,FALSE))</f>
        <v/>
      </c>
      <c r="M249" s="6" t="str">
        <f>IF(A249="","",VLOOKUP(J249,[1]Initiated!$A:$Y,6,FALSE))</f>
        <v/>
      </c>
      <c r="N249" s="6" t="str">
        <f>IF(A249="","",VLOOKUP(J249,[1]Initiated!$A:$Y,9,FALSE))</f>
        <v/>
      </c>
      <c r="O249" s="3" t="str">
        <f t="shared" si="46"/>
        <v/>
      </c>
      <c r="P249" s="6" t="str">
        <f>IF(OR(A249="", ISNUMBER(SEARCH("PFr", C249))), "", VLOOKUP(J249, [1]Initiated!$A:$Y, 7, FALSE))</f>
        <v/>
      </c>
      <c r="Q249" s="6" t="str">
        <f>IF(OR(A249="", ISNUMBER(SEARCH("PFr", C249))), "", VLOOKUP(J249, [1]Initiated!$A:$Y, 8, 0))</f>
        <v/>
      </c>
      <c r="R249" s="5" t="str">
        <f t="shared" si="47"/>
        <v/>
      </c>
      <c r="S249" s="4" t="str">
        <f>IF(A249="","",VLOOKUP(J249,[1]Initiated!$A:$Y,3,FALSE))</f>
        <v/>
      </c>
      <c r="T249" s="4" t="str">
        <f t="shared" ca="1" si="48"/>
        <v/>
      </c>
      <c r="U249" s="5" t="str">
        <f t="shared" si="49"/>
        <v/>
      </c>
      <c r="V249" s="5" t="str">
        <f t="shared" si="50"/>
        <v/>
      </c>
      <c r="W249" s="4" t="str">
        <f>IF(A249="","",VLOOKUP(J249,[1]Initiated!$A:$Y,10,0))</f>
        <v/>
      </c>
      <c r="X249" s="5" t="str">
        <f t="shared" si="51"/>
        <v/>
      </c>
    </row>
    <row r="250" spans="1:24" x14ac:dyDescent="0.25">
      <c r="A250" s="6"/>
      <c r="B250" s="6" t="str">
        <f t="shared" si="41"/>
        <v/>
      </c>
      <c r="C250" s="6" t="str">
        <f t="shared" si="42"/>
        <v/>
      </c>
      <c r="D250" s="6"/>
      <c r="E250" s="6"/>
      <c r="F250" s="6"/>
      <c r="G250" s="6"/>
      <c r="H250" s="6" t="str">
        <f t="shared" si="43"/>
        <v/>
      </c>
      <c r="I250" s="6" t="str">
        <f t="shared" ca="1" si="44"/>
        <v/>
      </c>
      <c r="J250" s="3" t="str">
        <f t="shared" si="45"/>
        <v/>
      </c>
      <c r="K250" s="6" t="str">
        <f>IF(A250="","",VLOOKUP(J250,[1]Initiated!$A:$Y,2,0))</f>
        <v/>
      </c>
      <c r="L250" s="2" t="str">
        <f>IF(A250="","",VLOOKUP(J250,[1]Initiated!$A:$Y,5,FALSE))</f>
        <v/>
      </c>
      <c r="M250" s="6" t="str">
        <f>IF(A250="","",VLOOKUP(J250,[1]Initiated!$A:$Y,6,FALSE))</f>
        <v/>
      </c>
      <c r="N250" s="6" t="str">
        <f>IF(A250="","",VLOOKUP(J250,[1]Initiated!$A:$Y,9,FALSE))</f>
        <v/>
      </c>
      <c r="O250" s="3" t="str">
        <f t="shared" si="46"/>
        <v/>
      </c>
      <c r="P250" s="6" t="str">
        <f>IF(OR(A250="", ISNUMBER(SEARCH("PFr", C250))), "", VLOOKUP(J250, [1]Initiated!$A:$Y, 7, FALSE))</f>
        <v/>
      </c>
      <c r="Q250" s="6" t="str">
        <f>IF(OR(A250="", ISNUMBER(SEARCH("PFr", C250))), "", VLOOKUP(J250, [1]Initiated!$A:$Y, 8, 0))</f>
        <v/>
      </c>
      <c r="R250" s="5" t="str">
        <f t="shared" si="47"/>
        <v/>
      </c>
      <c r="S250" s="4" t="str">
        <f>IF(A250="","",VLOOKUP(J250,[1]Initiated!$A:$Y,3,FALSE))</f>
        <v/>
      </c>
      <c r="T250" s="4" t="str">
        <f t="shared" ca="1" si="48"/>
        <v/>
      </c>
      <c r="U250" s="5" t="str">
        <f t="shared" si="49"/>
        <v/>
      </c>
      <c r="V250" s="5" t="str">
        <f t="shared" si="50"/>
        <v/>
      </c>
      <c r="W250" s="4" t="str">
        <f>IF(A250="","",VLOOKUP(J250,[1]Initiated!$A:$Y,10,0))</f>
        <v/>
      </c>
      <c r="X250" s="5" t="str">
        <f t="shared" si="51"/>
        <v/>
      </c>
    </row>
    <row r="251" spans="1:24" x14ac:dyDescent="0.25">
      <c r="A251" s="6"/>
      <c r="B251" s="6" t="str">
        <f t="shared" si="41"/>
        <v/>
      </c>
      <c r="C251" s="6" t="str">
        <f t="shared" si="42"/>
        <v/>
      </c>
      <c r="D251" s="6"/>
      <c r="E251" s="6"/>
      <c r="F251" s="6"/>
      <c r="G251" s="6"/>
      <c r="H251" s="6" t="str">
        <f t="shared" si="43"/>
        <v/>
      </c>
      <c r="I251" s="6" t="str">
        <f t="shared" ca="1" si="44"/>
        <v/>
      </c>
      <c r="J251" s="3" t="str">
        <f t="shared" si="45"/>
        <v/>
      </c>
      <c r="K251" s="6" t="str">
        <f>IF(A251="","",VLOOKUP(J251,[1]Initiated!$A:$Y,2,0))</f>
        <v/>
      </c>
      <c r="L251" s="2" t="str">
        <f>IF(A251="","",VLOOKUP(J251,[1]Initiated!$A:$Y,5,FALSE))</f>
        <v/>
      </c>
      <c r="M251" s="6" t="str">
        <f>IF(A251="","",VLOOKUP(J251,[1]Initiated!$A:$Y,6,FALSE))</f>
        <v/>
      </c>
      <c r="N251" s="6" t="str">
        <f>IF(A251="","",VLOOKUP(J251,[1]Initiated!$A:$Y,9,FALSE))</f>
        <v/>
      </c>
      <c r="O251" s="3" t="str">
        <f t="shared" si="46"/>
        <v/>
      </c>
      <c r="P251" s="6" t="str">
        <f>IF(OR(A251="", ISNUMBER(SEARCH("PFr", C251))), "", VLOOKUP(J251, [1]Initiated!$A:$Y, 7, FALSE))</f>
        <v/>
      </c>
      <c r="Q251" s="6" t="str">
        <f>IF(OR(A251="", ISNUMBER(SEARCH("PFr", C251))), "", VLOOKUP(J251, [1]Initiated!$A:$Y, 8, 0))</f>
        <v/>
      </c>
      <c r="R251" s="5" t="str">
        <f t="shared" si="47"/>
        <v/>
      </c>
      <c r="S251" s="4" t="str">
        <f>IF(A251="","",VLOOKUP(J251,[1]Initiated!$A:$Y,3,FALSE))</f>
        <v/>
      </c>
      <c r="T251" s="4" t="str">
        <f t="shared" ca="1" si="48"/>
        <v/>
      </c>
      <c r="U251" s="5" t="str">
        <f t="shared" si="49"/>
        <v/>
      </c>
      <c r="V251" s="5" t="str">
        <f t="shared" si="50"/>
        <v/>
      </c>
      <c r="W251" s="4" t="str">
        <f>IF(A251="","",VLOOKUP(J251,[1]Initiated!$A:$Y,10,0))</f>
        <v/>
      </c>
      <c r="X251" s="5" t="str">
        <f t="shared" si="51"/>
        <v/>
      </c>
    </row>
    <row r="252" spans="1:24" x14ac:dyDescent="0.25">
      <c r="A252" s="6"/>
      <c r="B252" s="6" t="str">
        <f t="shared" si="41"/>
        <v/>
      </c>
      <c r="C252" s="6" t="str">
        <f t="shared" si="42"/>
        <v/>
      </c>
      <c r="D252" s="6"/>
      <c r="E252" s="6"/>
      <c r="F252" s="6"/>
      <c r="G252" s="6"/>
      <c r="H252" s="6" t="str">
        <f t="shared" si="43"/>
        <v/>
      </c>
      <c r="I252" s="6" t="str">
        <f t="shared" ca="1" si="44"/>
        <v/>
      </c>
      <c r="J252" s="3" t="str">
        <f t="shared" si="45"/>
        <v/>
      </c>
      <c r="K252" s="6" t="str">
        <f>IF(A252="","",VLOOKUP(J252,[1]Initiated!$A:$Y,2,0))</f>
        <v/>
      </c>
      <c r="L252" s="2" t="str">
        <f>IF(A252="","",VLOOKUP(J252,[1]Initiated!$A:$Y,5,FALSE))</f>
        <v/>
      </c>
      <c r="M252" s="6" t="str">
        <f>IF(A252="","",VLOOKUP(J252,[1]Initiated!$A:$Y,6,FALSE))</f>
        <v/>
      </c>
      <c r="N252" s="6" t="str">
        <f>IF(A252="","",VLOOKUP(J252,[1]Initiated!$A:$Y,9,FALSE))</f>
        <v/>
      </c>
      <c r="O252" s="3" t="str">
        <f t="shared" si="46"/>
        <v/>
      </c>
      <c r="P252" s="6" t="str">
        <f>IF(OR(A252="", ISNUMBER(SEARCH("PFr", C252))), "", VLOOKUP(J252, [1]Initiated!$A:$Y, 7, FALSE))</f>
        <v/>
      </c>
      <c r="Q252" s="6" t="str">
        <f>IF(OR(A252="", ISNUMBER(SEARCH("PFr", C252))), "", VLOOKUP(J252, [1]Initiated!$A:$Y, 8, 0))</f>
        <v/>
      </c>
      <c r="R252" s="5" t="str">
        <f t="shared" si="47"/>
        <v/>
      </c>
      <c r="S252" s="4" t="str">
        <f>IF(A252="","",VLOOKUP(J252,[1]Initiated!$A:$Y,3,FALSE))</f>
        <v/>
      </c>
      <c r="T252" s="4" t="str">
        <f t="shared" ca="1" si="48"/>
        <v/>
      </c>
      <c r="U252" s="5" t="str">
        <f t="shared" si="49"/>
        <v/>
      </c>
      <c r="V252" s="5" t="str">
        <f t="shared" si="50"/>
        <v/>
      </c>
      <c r="W252" s="4" t="str">
        <f>IF(A252="","",VLOOKUP(J252,[1]Initiated!$A:$Y,10,0))</f>
        <v/>
      </c>
      <c r="X252" s="5" t="str">
        <f t="shared" si="51"/>
        <v/>
      </c>
    </row>
    <row r="253" spans="1:24" x14ac:dyDescent="0.25">
      <c r="A253" s="6"/>
      <c r="B253" s="6" t="str">
        <f t="shared" si="41"/>
        <v/>
      </c>
      <c r="C253" s="6" t="str">
        <f t="shared" si="42"/>
        <v/>
      </c>
      <c r="D253" s="6"/>
      <c r="E253" s="6"/>
      <c r="F253" s="6"/>
      <c r="G253" s="6"/>
      <c r="H253" s="6" t="str">
        <f t="shared" si="43"/>
        <v/>
      </c>
      <c r="I253" s="6" t="str">
        <f t="shared" ca="1" si="44"/>
        <v/>
      </c>
      <c r="J253" s="3" t="str">
        <f t="shared" si="45"/>
        <v/>
      </c>
      <c r="K253" s="6" t="str">
        <f>IF(A253="","",VLOOKUP(J253,[1]Initiated!$A:$Y,2,0))</f>
        <v/>
      </c>
      <c r="L253" s="2" t="str">
        <f>IF(A253="","",VLOOKUP(J253,[1]Initiated!$A:$Y,5,FALSE))</f>
        <v/>
      </c>
      <c r="M253" s="6" t="str">
        <f>IF(A253="","",VLOOKUP(J253,[1]Initiated!$A:$Y,6,FALSE))</f>
        <v/>
      </c>
      <c r="N253" s="6" t="str">
        <f>IF(A253="","",VLOOKUP(J253,[1]Initiated!$A:$Y,9,FALSE))</f>
        <v/>
      </c>
      <c r="O253" s="3" t="str">
        <f t="shared" si="46"/>
        <v/>
      </c>
      <c r="P253" s="6" t="str">
        <f>IF(OR(A253="", ISNUMBER(SEARCH("PFr", C253))), "", VLOOKUP(J253, [1]Initiated!$A:$Y, 7, FALSE))</f>
        <v/>
      </c>
      <c r="Q253" s="6" t="str">
        <f>IF(OR(A253="", ISNUMBER(SEARCH("PFr", C253))), "", VLOOKUP(J253, [1]Initiated!$A:$Y, 8, 0))</f>
        <v/>
      </c>
      <c r="R253" s="5" t="str">
        <f t="shared" si="47"/>
        <v/>
      </c>
      <c r="S253" s="4" t="str">
        <f>IF(A253="","",VLOOKUP(J253,[1]Initiated!$A:$Y,3,FALSE))</f>
        <v/>
      </c>
      <c r="T253" s="4" t="str">
        <f t="shared" ca="1" si="48"/>
        <v/>
      </c>
      <c r="U253" s="5" t="str">
        <f t="shared" si="49"/>
        <v/>
      </c>
      <c r="V253" s="5" t="str">
        <f t="shared" si="50"/>
        <v/>
      </c>
      <c r="W253" s="4" t="str">
        <f>IF(A253="","",VLOOKUP(J253,[1]Initiated!$A:$Y,10,0))</f>
        <v/>
      </c>
      <c r="X253" s="5" t="str">
        <f t="shared" si="51"/>
        <v/>
      </c>
    </row>
    <row r="254" spans="1:24" x14ac:dyDescent="0.25">
      <c r="A254" s="6"/>
      <c r="B254" s="6" t="str">
        <f t="shared" si="41"/>
        <v/>
      </c>
      <c r="C254" s="6" t="str">
        <f t="shared" si="42"/>
        <v/>
      </c>
      <c r="D254" s="6"/>
      <c r="E254" s="6"/>
      <c r="F254" s="6"/>
      <c r="G254" s="6"/>
      <c r="H254" s="6" t="str">
        <f t="shared" si="43"/>
        <v/>
      </c>
      <c r="I254" s="6" t="str">
        <f t="shared" ca="1" si="44"/>
        <v/>
      </c>
      <c r="J254" s="3" t="str">
        <f t="shared" si="45"/>
        <v/>
      </c>
      <c r="K254" s="6" t="str">
        <f>IF(A254="","",VLOOKUP(J254,[1]Initiated!$A:$Y,2,0))</f>
        <v/>
      </c>
      <c r="L254" s="2" t="str">
        <f>IF(A254="","",VLOOKUP(J254,[1]Initiated!$A:$Y,5,FALSE))</f>
        <v/>
      </c>
      <c r="M254" s="6" t="str">
        <f>IF(A254="","",VLOOKUP(J254,[1]Initiated!$A:$Y,6,FALSE))</f>
        <v/>
      </c>
      <c r="N254" s="6" t="str">
        <f>IF(A254="","",VLOOKUP(J254,[1]Initiated!$A:$Y,9,FALSE))</f>
        <v/>
      </c>
      <c r="O254" s="3" t="str">
        <f t="shared" si="46"/>
        <v/>
      </c>
      <c r="P254" s="6" t="str">
        <f>IF(OR(A254="", ISNUMBER(SEARCH("PFr", C254))), "", VLOOKUP(J254, [1]Initiated!$A:$Y, 7, FALSE))</f>
        <v/>
      </c>
      <c r="Q254" s="6" t="str">
        <f>IF(OR(A254="", ISNUMBER(SEARCH("PFr", C254))), "", VLOOKUP(J254, [1]Initiated!$A:$Y, 8, 0))</f>
        <v/>
      </c>
      <c r="R254" s="5" t="str">
        <f t="shared" si="47"/>
        <v/>
      </c>
      <c r="S254" s="4" t="str">
        <f>IF(A254="","",VLOOKUP(J254,[1]Initiated!$A:$Y,3,FALSE))</f>
        <v/>
      </c>
      <c r="T254" s="4" t="str">
        <f t="shared" ca="1" si="48"/>
        <v/>
      </c>
      <c r="U254" s="5" t="str">
        <f t="shared" si="49"/>
        <v/>
      </c>
      <c r="V254" s="5" t="str">
        <f t="shared" si="50"/>
        <v/>
      </c>
      <c r="W254" s="4" t="str">
        <f>IF(A254="","",VLOOKUP(J254,[1]Initiated!$A:$Y,10,0))</f>
        <v/>
      </c>
      <c r="X254" s="5" t="str">
        <f t="shared" si="51"/>
        <v/>
      </c>
    </row>
    <row r="255" spans="1:24" x14ac:dyDescent="0.25">
      <c r="A255" s="6"/>
      <c r="B255" s="6" t="str">
        <f t="shared" si="41"/>
        <v/>
      </c>
      <c r="C255" s="6" t="str">
        <f t="shared" si="42"/>
        <v/>
      </c>
      <c r="D255" s="6"/>
      <c r="E255" s="6"/>
      <c r="F255" s="6"/>
      <c r="G255" s="6"/>
      <c r="H255" s="6" t="str">
        <f t="shared" si="43"/>
        <v/>
      </c>
      <c r="I255" s="6" t="str">
        <f t="shared" ca="1" si="44"/>
        <v/>
      </c>
      <c r="J255" s="3" t="str">
        <f t="shared" si="45"/>
        <v/>
      </c>
      <c r="K255" s="6" t="str">
        <f>IF(A255="","",VLOOKUP(J255,[1]Initiated!$A:$Y,2,0))</f>
        <v/>
      </c>
      <c r="L255" s="2" t="str">
        <f>IF(A255="","",VLOOKUP(J255,[1]Initiated!$A:$Y,5,FALSE))</f>
        <v/>
      </c>
      <c r="M255" s="6" t="str">
        <f>IF(A255="","",VLOOKUP(J255,[1]Initiated!$A:$Y,6,FALSE))</f>
        <v/>
      </c>
      <c r="N255" s="6" t="str">
        <f>IF(A255="","",VLOOKUP(J255,[1]Initiated!$A:$Y,9,FALSE))</f>
        <v/>
      </c>
      <c r="O255" s="3" t="str">
        <f t="shared" si="46"/>
        <v/>
      </c>
      <c r="P255" s="6" t="str">
        <f>IF(OR(A255="", ISNUMBER(SEARCH("PFr", C255))), "", VLOOKUP(J255, [1]Initiated!$A:$Y, 7, FALSE))</f>
        <v/>
      </c>
      <c r="Q255" s="6" t="str">
        <f>IF(OR(A255="", ISNUMBER(SEARCH("PFr", C255))), "", VLOOKUP(J255, [1]Initiated!$A:$Y, 8, 0))</f>
        <v/>
      </c>
      <c r="R255" s="5" t="str">
        <f t="shared" si="47"/>
        <v/>
      </c>
      <c r="S255" s="4" t="str">
        <f>IF(A255="","",VLOOKUP(J255,[1]Initiated!$A:$Y,3,FALSE))</f>
        <v/>
      </c>
      <c r="T255" s="4" t="str">
        <f t="shared" ca="1" si="48"/>
        <v/>
      </c>
      <c r="U255" s="5" t="str">
        <f t="shared" si="49"/>
        <v/>
      </c>
      <c r="V255" s="5" t="str">
        <f t="shared" si="50"/>
        <v/>
      </c>
      <c r="W255" s="4" t="str">
        <f>IF(A255="","",VLOOKUP(J255,[1]Initiated!$A:$Y,10,0))</f>
        <v/>
      </c>
      <c r="X255" s="5" t="str">
        <f t="shared" si="51"/>
        <v/>
      </c>
    </row>
    <row r="256" spans="1:24" x14ac:dyDescent="0.25">
      <c r="A256" s="6"/>
      <c r="B256" s="6" t="str">
        <f t="shared" si="41"/>
        <v/>
      </c>
      <c r="C256" s="6" t="str">
        <f t="shared" si="42"/>
        <v/>
      </c>
      <c r="D256" s="6"/>
      <c r="E256" s="6"/>
      <c r="F256" s="6"/>
      <c r="G256" s="6"/>
      <c r="H256" s="6" t="str">
        <f t="shared" si="43"/>
        <v/>
      </c>
      <c r="I256" s="6" t="str">
        <f t="shared" ca="1" si="44"/>
        <v/>
      </c>
      <c r="J256" s="3" t="str">
        <f t="shared" si="45"/>
        <v/>
      </c>
      <c r="K256" s="6" t="str">
        <f>IF(A256="","",VLOOKUP(J256,[1]Initiated!$A:$Y,2,0))</f>
        <v/>
      </c>
      <c r="L256" s="2" t="str">
        <f>IF(A256="","",VLOOKUP(J256,[1]Initiated!$A:$Y,5,FALSE))</f>
        <v/>
      </c>
      <c r="M256" s="6" t="str">
        <f>IF(A256="","",VLOOKUP(J256,[1]Initiated!$A:$Y,6,FALSE))</f>
        <v/>
      </c>
      <c r="N256" s="6" t="str">
        <f>IF(A256="","",VLOOKUP(J256,[1]Initiated!$A:$Y,9,FALSE))</f>
        <v/>
      </c>
      <c r="O256" s="3" t="str">
        <f t="shared" si="46"/>
        <v/>
      </c>
      <c r="P256" s="6" t="str">
        <f>IF(OR(A256="", ISNUMBER(SEARCH("PFr", C256))), "", VLOOKUP(J256, [1]Initiated!$A:$Y, 7, FALSE))</f>
        <v/>
      </c>
      <c r="Q256" s="6" t="str">
        <f>IF(OR(A256="", ISNUMBER(SEARCH("PFr", C256))), "", VLOOKUP(J256, [1]Initiated!$A:$Y, 8, 0))</f>
        <v/>
      </c>
      <c r="R256" s="5" t="str">
        <f t="shared" si="47"/>
        <v/>
      </c>
      <c r="S256" s="4" t="str">
        <f>IF(A256="","",VLOOKUP(J256,[1]Initiated!$A:$Y,3,FALSE))</f>
        <v/>
      </c>
      <c r="T256" s="4" t="str">
        <f t="shared" ca="1" si="48"/>
        <v/>
      </c>
      <c r="U256" s="5" t="str">
        <f t="shared" si="49"/>
        <v/>
      </c>
      <c r="V256" s="5" t="str">
        <f t="shared" si="50"/>
        <v/>
      </c>
      <c r="W256" s="4" t="str">
        <f>IF(A256="","",VLOOKUP(J256,[1]Initiated!$A:$Y,10,0))</f>
        <v/>
      </c>
      <c r="X256" s="5" t="str">
        <f t="shared" si="51"/>
        <v/>
      </c>
    </row>
    <row r="257" spans="1:24" x14ac:dyDescent="0.25">
      <c r="A257" s="6"/>
      <c r="B257" s="6" t="str">
        <f t="shared" si="41"/>
        <v/>
      </c>
      <c r="C257" s="6" t="str">
        <f t="shared" si="42"/>
        <v/>
      </c>
      <c r="D257" s="6"/>
      <c r="E257" s="6"/>
      <c r="F257" s="6"/>
      <c r="G257" s="6"/>
      <c r="H257" s="6" t="str">
        <f t="shared" si="43"/>
        <v/>
      </c>
      <c r="I257" s="6" t="str">
        <f t="shared" ca="1" si="44"/>
        <v/>
      </c>
      <c r="J257" s="3" t="str">
        <f t="shared" si="45"/>
        <v/>
      </c>
      <c r="K257" s="6" t="str">
        <f>IF(A257="","",VLOOKUP(J257,[1]Initiated!$A:$Y,2,0))</f>
        <v/>
      </c>
      <c r="L257" s="2" t="str">
        <f>IF(A257="","",VLOOKUP(J257,[1]Initiated!$A:$Y,5,FALSE))</f>
        <v/>
      </c>
      <c r="M257" s="6" t="str">
        <f>IF(A257="","",VLOOKUP(J257,[1]Initiated!$A:$Y,6,FALSE))</f>
        <v/>
      </c>
      <c r="N257" s="6" t="str">
        <f>IF(A257="","",VLOOKUP(J257,[1]Initiated!$A:$Y,9,FALSE))</f>
        <v/>
      </c>
      <c r="O257" s="3" t="str">
        <f t="shared" si="46"/>
        <v/>
      </c>
      <c r="P257" s="6" t="str">
        <f>IF(OR(A257="", ISNUMBER(SEARCH("PFr", C257))), "", VLOOKUP(J257, [1]Initiated!$A:$Y, 7, FALSE))</f>
        <v/>
      </c>
      <c r="Q257" s="6" t="str">
        <f>IF(OR(A257="", ISNUMBER(SEARCH("PFr", C257))), "", VLOOKUP(J257, [1]Initiated!$A:$Y, 8, 0))</f>
        <v/>
      </c>
      <c r="R257" s="5" t="str">
        <f t="shared" si="47"/>
        <v/>
      </c>
      <c r="S257" s="4" t="str">
        <f>IF(A257="","",VLOOKUP(J257,[1]Initiated!$A:$Y,3,FALSE))</f>
        <v/>
      </c>
      <c r="T257" s="4" t="str">
        <f t="shared" ca="1" si="48"/>
        <v/>
      </c>
      <c r="U257" s="5" t="str">
        <f t="shared" si="49"/>
        <v/>
      </c>
      <c r="V257" s="5" t="str">
        <f t="shared" si="50"/>
        <v/>
      </c>
      <c r="W257" s="4" t="str">
        <f>IF(A257="","",VLOOKUP(J257,[1]Initiated!$A:$Y,10,0))</f>
        <v/>
      </c>
      <c r="X257" s="5" t="str">
        <f t="shared" si="51"/>
        <v/>
      </c>
    </row>
    <row r="258" spans="1:24" x14ac:dyDescent="0.25">
      <c r="A258" s="6"/>
      <c r="B258" s="6" t="str">
        <f t="shared" si="41"/>
        <v/>
      </c>
      <c r="C258" s="6" t="str">
        <f t="shared" si="42"/>
        <v/>
      </c>
      <c r="D258" s="6"/>
      <c r="E258" s="6"/>
      <c r="F258" s="6"/>
      <c r="G258" s="6"/>
      <c r="H258" s="6" t="str">
        <f t="shared" si="43"/>
        <v/>
      </c>
      <c r="I258" s="6" t="str">
        <f t="shared" ca="1" si="44"/>
        <v/>
      </c>
      <c r="J258" s="3" t="str">
        <f t="shared" si="45"/>
        <v/>
      </c>
      <c r="K258" s="6" t="str">
        <f>IF(A258="","",VLOOKUP(J258,[1]Initiated!$A:$Y,2,0))</f>
        <v/>
      </c>
      <c r="L258" s="2" t="str">
        <f>IF(A258="","",VLOOKUP(J258,[1]Initiated!$A:$Y,5,FALSE))</f>
        <v/>
      </c>
      <c r="M258" s="6" t="str">
        <f>IF(A258="","",VLOOKUP(J258,[1]Initiated!$A:$Y,6,FALSE))</f>
        <v/>
      </c>
      <c r="N258" s="6" t="str">
        <f>IF(A258="","",VLOOKUP(J258,[1]Initiated!$A:$Y,9,FALSE))</f>
        <v/>
      </c>
      <c r="O258" s="3" t="str">
        <f t="shared" si="46"/>
        <v/>
      </c>
      <c r="P258" s="6" t="str">
        <f>IF(OR(A258="", ISNUMBER(SEARCH("PFr", C258))), "", VLOOKUP(J258, [1]Initiated!$A:$Y, 7, FALSE))</f>
        <v/>
      </c>
      <c r="Q258" s="6" t="str">
        <f>IF(OR(A258="", ISNUMBER(SEARCH("PFr", C258))), "", VLOOKUP(J258, [1]Initiated!$A:$Y, 8, 0))</f>
        <v/>
      </c>
      <c r="R258" s="5" t="str">
        <f t="shared" si="47"/>
        <v/>
      </c>
      <c r="S258" s="4" t="str">
        <f>IF(A258="","",VLOOKUP(J258,[1]Initiated!$A:$Y,3,FALSE))</f>
        <v/>
      </c>
      <c r="T258" s="4" t="str">
        <f t="shared" ca="1" si="48"/>
        <v/>
      </c>
      <c r="U258" s="5" t="str">
        <f t="shared" si="49"/>
        <v/>
      </c>
      <c r="V258" s="5" t="str">
        <f t="shared" si="50"/>
        <v/>
      </c>
      <c r="W258" s="4" t="str">
        <f>IF(A258="","",VLOOKUP(J258,[1]Initiated!$A:$Y,10,0))</f>
        <v/>
      </c>
      <c r="X258" s="5" t="str">
        <f t="shared" si="51"/>
        <v/>
      </c>
    </row>
    <row r="259" spans="1:24" x14ac:dyDescent="0.25">
      <c r="A259" s="6"/>
      <c r="B259" s="6" t="str">
        <f t="shared" ref="B259:B314" si="52">IF(A259="","",LEFT(A259,FIND(".",A259)-1))</f>
        <v/>
      </c>
      <c r="C259" s="6" t="str">
        <f t="shared" ref="C259:C314" si="53">IF(A259="","",IF(ISNUMBER(FIND(".",A259,FIND(".",A259)+1)),MID(A259,FIND(".",A259)+1,FIND(".",A259,FIND(".",A259)+1)-FIND(".",A259)-1),MID(A259,FIND(".",A259)+1,LEN(A259)-FIND(".",A259))))</f>
        <v/>
      </c>
      <c r="D259" s="6"/>
      <c r="E259" s="6"/>
      <c r="F259" s="6"/>
      <c r="G259" s="6"/>
      <c r="H259" s="6" t="str">
        <f t="shared" ref="H259:H314" si="54">IF(A259="","","*SS OK Only")</f>
        <v/>
      </c>
      <c r="I259" s="6" t="str">
        <f t="shared" ref="I259:I314" ca="1" si="55">IF(A259="","",B259&amp;" "&amp;K259&amp;" in "&amp;M259&amp;" "&amp;TEXT(TODAY(),"yyyy-mm-dd")&amp;" "&amp;C259)</f>
        <v/>
      </c>
      <c r="J259" s="3" t="str">
        <f t="shared" ref="J259:J314" si="56">IF(A259="","",B259)</f>
        <v/>
      </c>
      <c r="K259" s="6" t="str">
        <f>IF(A259="","",VLOOKUP(J259,[1]Initiated!$A:$Y,2,0))</f>
        <v/>
      </c>
      <c r="L259" s="2" t="str">
        <f>IF(A259="","",VLOOKUP(J259,[1]Initiated!$A:$Y,5,FALSE))</f>
        <v/>
      </c>
      <c r="M259" s="6" t="str">
        <f>IF(A259="","",VLOOKUP(J259,[1]Initiated!$A:$Y,6,FALSE))</f>
        <v/>
      </c>
      <c r="N259" s="6" t="str">
        <f>IF(A259="","",VLOOKUP(J259,[1]Initiated!$A:$Y,9,FALSE))</f>
        <v/>
      </c>
      <c r="O259" s="3" t="str">
        <f t="shared" ref="O259:O314" si="57">IF(A259="","",C259)</f>
        <v/>
      </c>
      <c r="P259" s="6" t="str">
        <f>IF(OR(A259="", ISNUMBER(SEARCH("PFr", C259))), "", VLOOKUP(J259, [1]Initiated!$A:$Y, 7, FALSE))</f>
        <v/>
      </c>
      <c r="Q259" s="6" t="str">
        <f>IF(OR(A259="", ISNUMBER(SEARCH("PFr", C259))), "", VLOOKUP(J259, [1]Initiated!$A:$Y, 8, 0))</f>
        <v/>
      </c>
      <c r="R259" s="5" t="str">
        <f t="shared" ref="R259:R314" si="58">IF(OR(C259="", ISNUMBER(SEARCH("PFr", C259))), "", IF(ISNUMBER(SEARCH("16C", C259)), "16°C", IF(ISNUMBER(SEARCH("22C", C259)), "22°C", IF(ISNUMBER(SEARCH("25C", C259)), "25°C", IF(ISNUMBER(SEARCH("30C", C259)), "30°C", "37°C")))))</f>
        <v/>
      </c>
      <c r="S259" s="4" t="str">
        <f>IF(A259="","",VLOOKUP(J259,[1]Initiated!$A:$Y,3,FALSE))</f>
        <v/>
      </c>
      <c r="T259" s="4" t="str">
        <f t="shared" ref="T259:T314" ca="1" si="59">IF(A259="","",TODAY())</f>
        <v/>
      </c>
      <c r="U259" s="5" t="str">
        <f t="shared" ref="U259:U314" si="60">IF(A259="","","-20°C")</f>
        <v/>
      </c>
      <c r="V259" s="5" t="str">
        <f t="shared" ref="V259:V314" si="61">IF(OR(C259="", ISNUMBER(SEARCH("PFr", C259))), "", IF(ISNUMBER(SEARCH("Stbl", C259)), "Stable", "Top10"))</f>
        <v/>
      </c>
      <c r="W259" s="4" t="str">
        <f>IF(A259="","",VLOOKUP(J259,[1]Initiated!$A:$Y,10,0))</f>
        <v/>
      </c>
      <c r="X259" s="5" t="str">
        <f t="shared" ref="X259:X314" si="62">IF(OR(A259="", ISNUMBER(SEARCH("PFr", C259))), "", "E. coli")</f>
        <v/>
      </c>
    </row>
    <row r="260" spans="1:24" x14ac:dyDescent="0.25">
      <c r="A260" s="6"/>
      <c r="B260" s="6" t="str">
        <f t="shared" si="52"/>
        <v/>
      </c>
      <c r="C260" s="6" t="str">
        <f t="shared" si="53"/>
        <v/>
      </c>
      <c r="D260" s="6"/>
      <c r="E260" s="6"/>
      <c r="F260" s="6"/>
      <c r="G260" s="6"/>
      <c r="H260" s="6" t="str">
        <f t="shared" si="54"/>
        <v/>
      </c>
      <c r="I260" s="6" t="str">
        <f t="shared" ca="1" si="55"/>
        <v/>
      </c>
      <c r="J260" s="3" t="str">
        <f t="shared" si="56"/>
        <v/>
      </c>
      <c r="K260" s="6" t="str">
        <f>IF(A260="","",VLOOKUP(J260,[1]Initiated!$A:$Y,2,0))</f>
        <v/>
      </c>
      <c r="L260" s="2" t="str">
        <f>IF(A260="","",VLOOKUP(J260,[1]Initiated!$A:$Y,5,FALSE))</f>
        <v/>
      </c>
      <c r="M260" s="6" t="str">
        <f>IF(A260="","",VLOOKUP(J260,[1]Initiated!$A:$Y,6,FALSE))</f>
        <v/>
      </c>
      <c r="N260" s="6" t="str">
        <f>IF(A260="","",VLOOKUP(J260,[1]Initiated!$A:$Y,9,FALSE))</f>
        <v/>
      </c>
      <c r="O260" s="3" t="str">
        <f t="shared" si="57"/>
        <v/>
      </c>
      <c r="P260" s="6" t="str">
        <f>IF(OR(A260="", ISNUMBER(SEARCH("PFr", C260))), "", VLOOKUP(J260, [1]Initiated!$A:$Y, 7, FALSE))</f>
        <v/>
      </c>
      <c r="Q260" s="6" t="str">
        <f>IF(OR(A260="", ISNUMBER(SEARCH("PFr", C260))), "", VLOOKUP(J260, [1]Initiated!$A:$Y, 8, 0))</f>
        <v/>
      </c>
      <c r="R260" s="5" t="str">
        <f t="shared" si="58"/>
        <v/>
      </c>
      <c r="S260" s="4" t="str">
        <f>IF(A260="","",VLOOKUP(J260,[1]Initiated!$A:$Y,3,FALSE))</f>
        <v/>
      </c>
      <c r="T260" s="4" t="str">
        <f t="shared" ca="1" si="59"/>
        <v/>
      </c>
      <c r="U260" s="5" t="str">
        <f t="shared" si="60"/>
        <v/>
      </c>
      <c r="V260" s="5" t="str">
        <f t="shared" si="61"/>
        <v/>
      </c>
      <c r="W260" s="4" t="str">
        <f>IF(A260="","",VLOOKUP(J260,[1]Initiated!$A:$Y,10,0))</f>
        <v/>
      </c>
      <c r="X260" s="5" t="str">
        <f t="shared" si="62"/>
        <v/>
      </c>
    </row>
    <row r="261" spans="1:24" x14ac:dyDescent="0.25">
      <c r="A261" s="6"/>
      <c r="B261" s="6" t="str">
        <f t="shared" si="52"/>
        <v/>
      </c>
      <c r="C261" s="6" t="str">
        <f t="shared" si="53"/>
        <v/>
      </c>
      <c r="D261" s="6"/>
      <c r="E261" s="6"/>
      <c r="F261" s="6"/>
      <c r="G261" s="6"/>
      <c r="H261" s="6" t="str">
        <f t="shared" si="54"/>
        <v/>
      </c>
      <c r="I261" s="6" t="str">
        <f t="shared" ca="1" si="55"/>
        <v/>
      </c>
      <c r="J261" s="3" t="str">
        <f t="shared" si="56"/>
        <v/>
      </c>
      <c r="K261" s="6" t="str">
        <f>IF(A261="","",VLOOKUP(J261,[1]Initiated!$A:$Y,2,0))</f>
        <v/>
      </c>
      <c r="L261" s="2" t="str">
        <f>IF(A261="","",VLOOKUP(J261,[1]Initiated!$A:$Y,5,FALSE))</f>
        <v/>
      </c>
      <c r="M261" s="6" t="str">
        <f>IF(A261="","",VLOOKUP(J261,[1]Initiated!$A:$Y,6,FALSE))</f>
        <v/>
      </c>
      <c r="N261" s="6" t="str">
        <f>IF(A261="","",VLOOKUP(J261,[1]Initiated!$A:$Y,9,FALSE))</f>
        <v/>
      </c>
      <c r="O261" s="3" t="str">
        <f t="shared" si="57"/>
        <v/>
      </c>
      <c r="P261" s="6" t="str">
        <f>IF(OR(A261="", ISNUMBER(SEARCH("PFr", C261))), "", VLOOKUP(J261, [1]Initiated!$A:$Y, 7, FALSE))</f>
        <v/>
      </c>
      <c r="Q261" s="6" t="str">
        <f>IF(OR(A261="", ISNUMBER(SEARCH("PFr", C261))), "", VLOOKUP(J261, [1]Initiated!$A:$Y, 8, 0))</f>
        <v/>
      </c>
      <c r="R261" s="5" t="str">
        <f t="shared" si="58"/>
        <v/>
      </c>
      <c r="S261" s="4" t="str">
        <f>IF(A261="","",VLOOKUP(J261,[1]Initiated!$A:$Y,3,FALSE))</f>
        <v/>
      </c>
      <c r="T261" s="4" t="str">
        <f t="shared" ca="1" si="59"/>
        <v/>
      </c>
      <c r="U261" s="5" t="str">
        <f t="shared" si="60"/>
        <v/>
      </c>
      <c r="V261" s="5" t="str">
        <f t="shared" si="61"/>
        <v/>
      </c>
      <c r="W261" s="4" t="str">
        <f>IF(A261="","",VLOOKUP(J261,[1]Initiated!$A:$Y,10,0))</f>
        <v/>
      </c>
      <c r="X261" s="5" t="str">
        <f t="shared" si="62"/>
        <v/>
      </c>
    </row>
    <row r="262" spans="1:24" x14ac:dyDescent="0.25">
      <c r="A262" s="6"/>
      <c r="B262" s="6" t="str">
        <f t="shared" si="52"/>
        <v/>
      </c>
      <c r="C262" s="6" t="str">
        <f t="shared" si="53"/>
        <v/>
      </c>
      <c r="D262" s="6"/>
      <c r="E262" s="6"/>
      <c r="F262" s="6"/>
      <c r="G262" s="6"/>
      <c r="H262" s="6" t="str">
        <f t="shared" si="54"/>
        <v/>
      </c>
      <c r="I262" s="6" t="str">
        <f t="shared" ca="1" si="55"/>
        <v/>
      </c>
      <c r="J262" s="3" t="str">
        <f t="shared" si="56"/>
        <v/>
      </c>
      <c r="K262" s="6" t="str">
        <f>IF(A262="","",VLOOKUP(J262,[1]Initiated!$A:$Y,2,0))</f>
        <v/>
      </c>
      <c r="L262" s="2" t="str">
        <f>IF(A262="","",VLOOKUP(J262,[1]Initiated!$A:$Y,5,FALSE))</f>
        <v/>
      </c>
      <c r="M262" s="6" t="str">
        <f>IF(A262="","",VLOOKUP(J262,[1]Initiated!$A:$Y,6,FALSE))</f>
        <v/>
      </c>
      <c r="N262" s="6" t="str">
        <f>IF(A262="","",VLOOKUP(J262,[1]Initiated!$A:$Y,9,FALSE))</f>
        <v/>
      </c>
      <c r="O262" s="3" t="str">
        <f t="shared" si="57"/>
        <v/>
      </c>
      <c r="P262" s="6" t="str">
        <f>IF(OR(A262="", ISNUMBER(SEARCH("PFr", C262))), "", VLOOKUP(J262, [1]Initiated!$A:$Y, 7, FALSE))</f>
        <v/>
      </c>
      <c r="Q262" s="6" t="str">
        <f>IF(OR(A262="", ISNUMBER(SEARCH("PFr", C262))), "", VLOOKUP(J262, [1]Initiated!$A:$Y, 8, 0))</f>
        <v/>
      </c>
      <c r="R262" s="5" t="str">
        <f t="shared" si="58"/>
        <v/>
      </c>
      <c r="S262" s="4" t="str">
        <f>IF(A262="","",VLOOKUP(J262,[1]Initiated!$A:$Y,3,FALSE))</f>
        <v/>
      </c>
      <c r="T262" s="4" t="str">
        <f t="shared" ca="1" si="59"/>
        <v/>
      </c>
      <c r="U262" s="5" t="str">
        <f t="shared" si="60"/>
        <v/>
      </c>
      <c r="V262" s="5" t="str">
        <f t="shared" si="61"/>
        <v/>
      </c>
      <c r="W262" s="4" t="str">
        <f>IF(A262="","",VLOOKUP(J262,[1]Initiated!$A:$Y,10,0))</f>
        <v/>
      </c>
      <c r="X262" s="5" t="str">
        <f t="shared" si="62"/>
        <v/>
      </c>
    </row>
    <row r="263" spans="1:24" x14ac:dyDescent="0.25">
      <c r="A263" s="6"/>
      <c r="B263" s="6" t="str">
        <f t="shared" si="52"/>
        <v/>
      </c>
      <c r="C263" s="6" t="str">
        <f t="shared" si="53"/>
        <v/>
      </c>
      <c r="D263" s="6"/>
      <c r="E263" s="6"/>
      <c r="F263" s="6"/>
      <c r="G263" s="6"/>
      <c r="H263" s="6" t="str">
        <f t="shared" si="54"/>
        <v/>
      </c>
      <c r="I263" s="6" t="str">
        <f t="shared" ca="1" si="55"/>
        <v/>
      </c>
      <c r="J263" s="3" t="str">
        <f t="shared" si="56"/>
        <v/>
      </c>
      <c r="K263" s="6" t="str">
        <f>IF(A263="","",VLOOKUP(J263,[1]Initiated!$A:$Y,2,0))</f>
        <v/>
      </c>
      <c r="L263" s="2" t="str">
        <f>IF(A263="","",VLOOKUP(J263,[1]Initiated!$A:$Y,5,FALSE))</f>
        <v/>
      </c>
      <c r="M263" s="6" t="str">
        <f>IF(A263="","",VLOOKUP(J263,[1]Initiated!$A:$Y,6,FALSE))</f>
        <v/>
      </c>
      <c r="N263" s="6" t="str">
        <f>IF(A263="","",VLOOKUP(J263,[1]Initiated!$A:$Y,9,FALSE))</f>
        <v/>
      </c>
      <c r="O263" s="3" t="str">
        <f t="shared" si="57"/>
        <v/>
      </c>
      <c r="P263" s="6" t="str">
        <f>IF(OR(A263="", ISNUMBER(SEARCH("PFr", C263))), "", VLOOKUP(J263, [1]Initiated!$A:$Y, 7, FALSE))</f>
        <v/>
      </c>
      <c r="Q263" s="6" t="str">
        <f>IF(OR(A263="", ISNUMBER(SEARCH("PFr", C263))), "", VLOOKUP(J263, [1]Initiated!$A:$Y, 8, 0))</f>
        <v/>
      </c>
      <c r="R263" s="5" t="str">
        <f t="shared" si="58"/>
        <v/>
      </c>
      <c r="S263" s="4" t="str">
        <f>IF(A263="","",VLOOKUP(J263,[1]Initiated!$A:$Y,3,FALSE))</f>
        <v/>
      </c>
      <c r="T263" s="4" t="str">
        <f t="shared" ca="1" si="59"/>
        <v/>
      </c>
      <c r="U263" s="5" t="str">
        <f t="shared" si="60"/>
        <v/>
      </c>
      <c r="V263" s="5" t="str">
        <f t="shared" si="61"/>
        <v/>
      </c>
      <c r="W263" s="4" t="str">
        <f>IF(A263="","",VLOOKUP(J263,[1]Initiated!$A:$Y,10,0))</f>
        <v/>
      </c>
      <c r="X263" s="5" t="str">
        <f t="shared" si="62"/>
        <v/>
      </c>
    </row>
    <row r="264" spans="1:24" x14ac:dyDescent="0.25">
      <c r="A264" s="6"/>
      <c r="B264" s="6" t="str">
        <f t="shared" si="52"/>
        <v/>
      </c>
      <c r="C264" s="6" t="str">
        <f t="shared" si="53"/>
        <v/>
      </c>
      <c r="D264" s="6"/>
      <c r="E264" s="6"/>
      <c r="F264" s="6"/>
      <c r="G264" s="6"/>
      <c r="H264" s="6" t="str">
        <f t="shared" si="54"/>
        <v/>
      </c>
      <c r="I264" s="6" t="str">
        <f t="shared" ca="1" si="55"/>
        <v/>
      </c>
      <c r="J264" s="3" t="str">
        <f t="shared" si="56"/>
        <v/>
      </c>
      <c r="K264" s="6" t="str">
        <f>IF(A264="","",VLOOKUP(J264,[1]Initiated!$A:$Y,2,0))</f>
        <v/>
      </c>
      <c r="L264" s="2" t="str">
        <f>IF(A264="","",VLOOKUP(J264,[1]Initiated!$A:$Y,5,FALSE))</f>
        <v/>
      </c>
      <c r="M264" s="6" t="str">
        <f>IF(A264="","",VLOOKUP(J264,[1]Initiated!$A:$Y,6,FALSE))</f>
        <v/>
      </c>
      <c r="N264" s="6" t="str">
        <f>IF(A264="","",VLOOKUP(J264,[1]Initiated!$A:$Y,9,FALSE))</f>
        <v/>
      </c>
      <c r="O264" s="3" t="str">
        <f t="shared" si="57"/>
        <v/>
      </c>
      <c r="P264" s="6" t="str">
        <f>IF(OR(A264="", ISNUMBER(SEARCH("PFr", C264))), "", VLOOKUP(J264, [1]Initiated!$A:$Y, 7, FALSE))</f>
        <v/>
      </c>
      <c r="Q264" s="6" t="str">
        <f>IF(OR(A264="", ISNUMBER(SEARCH("PFr", C264))), "", VLOOKUP(J264, [1]Initiated!$A:$Y, 8, 0))</f>
        <v/>
      </c>
      <c r="R264" s="5" t="str">
        <f t="shared" si="58"/>
        <v/>
      </c>
      <c r="S264" s="4" t="str">
        <f>IF(A264="","",VLOOKUP(J264,[1]Initiated!$A:$Y,3,FALSE))</f>
        <v/>
      </c>
      <c r="T264" s="4" t="str">
        <f t="shared" ca="1" si="59"/>
        <v/>
      </c>
      <c r="U264" s="5" t="str">
        <f t="shared" si="60"/>
        <v/>
      </c>
      <c r="V264" s="5" t="str">
        <f t="shared" si="61"/>
        <v/>
      </c>
      <c r="W264" s="4" t="str">
        <f>IF(A264="","",VLOOKUP(J264,[1]Initiated!$A:$Y,10,0))</f>
        <v/>
      </c>
      <c r="X264" s="5" t="str">
        <f t="shared" si="62"/>
        <v/>
      </c>
    </row>
    <row r="265" spans="1:24" x14ac:dyDescent="0.25">
      <c r="A265" s="6"/>
      <c r="B265" s="6" t="str">
        <f t="shared" si="52"/>
        <v/>
      </c>
      <c r="C265" s="6" t="str">
        <f t="shared" si="53"/>
        <v/>
      </c>
      <c r="D265" s="6"/>
      <c r="E265" s="6"/>
      <c r="F265" s="6"/>
      <c r="G265" s="6"/>
      <c r="H265" s="6" t="str">
        <f t="shared" si="54"/>
        <v/>
      </c>
      <c r="I265" s="6" t="str">
        <f t="shared" ca="1" si="55"/>
        <v/>
      </c>
      <c r="J265" s="3" t="str">
        <f t="shared" si="56"/>
        <v/>
      </c>
      <c r="K265" s="6" t="str">
        <f>IF(A265="","",VLOOKUP(J265,[1]Initiated!$A:$Y,2,0))</f>
        <v/>
      </c>
      <c r="L265" s="2" t="str">
        <f>IF(A265="","",VLOOKUP(J265,[1]Initiated!$A:$Y,5,FALSE))</f>
        <v/>
      </c>
      <c r="M265" s="6" t="str">
        <f>IF(A265="","",VLOOKUP(J265,[1]Initiated!$A:$Y,6,FALSE))</f>
        <v/>
      </c>
      <c r="N265" s="6" t="str">
        <f>IF(A265="","",VLOOKUP(J265,[1]Initiated!$A:$Y,9,FALSE))</f>
        <v/>
      </c>
      <c r="O265" s="3" t="str">
        <f t="shared" si="57"/>
        <v/>
      </c>
      <c r="P265" s="6" t="str">
        <f>IF(OR(A265="", ISNUMBER(SEARCH("PFr", C265))), "", VLOOKUP(J265, [1]Initiated!$A:$Y, 7, FALSE))</f>
        <v/>
      </c>
      <c r="Q265" s="6" t="str">
        <f>IF(OR(A265="", ISNUMBER(SEARCH("PFr", C265))), "", VLOOKUP(J265, [1]Initiated!$A:$Y, 8, 0))</f>
        <v/>
      </c>
      <c r="R265" s="5" t="str">
        <f t="shared" si="58"/>
        <v/>
      </c>
      <c r="S265" s="4" t="str">
        <f>IF(A265="","",VLOOKUP(J265,[1]Initiated!$A:$Y,3,FALSE))</f>
        <v/>
      </c>
      <c r="T265" s="4" t="str">
        <f t="shared" ca="1" si="59"/>
        <v/>
      </c>
      <c r="U265" s="5" t="str">
        <f t="shared" si="60"/>
        <v/>
      </c>
      <c r="V265" s="5" t="str">
        <f t="shared" si="61"/>
        <v/>
      </c>
      <c r="W265" s="4" t="str">
        <f>IF(A265="","",VLOOKUP(J265,[1]Initiated!$A:$Y,10,0))</f>
        <v/>
      </c>
      <c r="X265" s="5" t="str">
        <f t="shared" si="62"/>
        <v/>
      </c>
    </row>
    <row r="266" spans="1:24" x14ac:dyDescent="0.25">
      <c r="A266" s="6"/>
      <c r="B266" s="6" t="str">
        <f t="shared" si="52"/>
        <v/>
      </c>
      <c r="C266" s="6" t="str">
        <f t="shared" si="53"/>
        <v/>
      </c>
      <c r="D266" s="6"/>
      <c r="E266" s="6"/>
      <c r="F266" s="6"/>
      <c r="G266" s="6"/>
      <c r="H266" s="6" t="str">
        <f t="shared" si="54"/>
        <v/>
      </c>
      <c r="I266" s="6" t="str">
        <f t="shared" ca="1" si="55"/>
        <v/>
      </c>
      <c r="J266" s="3" t="str">
        <f t="shared" si="56"/>
        <v/>
      </c>
      <c r="K266" s="6" t="str">
        <f>IF(A266="","",VLOOKUP(J266,[1]Initiated!$A:$Y,2,0))</f>
        <v/>
      </c>
      <c r="L266" s="2" t="str">
        <f>IF(A266="","",VLOOKUP(J266,[1]Initiated!$A:$Y,5,FALSE))</f>
        <v/>
      </c>
      <c r="M266" s="6" t="str">
        <f>IF(A266="","",VLOOKUP(J266,[1]Initiated!$A:$Y,6,FALSE))</f>
        <v/>
      </c>
      <c r="N266" s="6" t="str">
        <f>IF(A266="","",VLOOKUP(J266,[1]Initiated!$A:$Y,9,FALSE))</f>
        <v/>
      </c>
      <c r="O266" s="3" t="str">
        <f t="shared" si="57"/>
        <v/>
      </c>
      <c r="P266" s="6" t="str">
        <f>IF(OR(A266="", ISNUMBER(SEARCH("PFr", C266))), "", VLOOKUP(J266, [1]Initiated!$A:$Y, 7, FALSE))</f>
        <v/>
      </c>
      <c r="Q266" s="6" t="str">
        <f>IF(OR(A266="", ISNUMBER(SEARCH("PFr", C266))), "", VLOOKUP(J266, [1]Initiated!$A:$Y, 8, 0))</f>
        <v/>
      </c>
      <c r="R266" s="5" t="str">
        <f t="shared" si="58"/>
        <v/>
      </c>
      <c r="S266" s="4" t="str">
        <f>IF(A266="","",VLOOKUP(J266,[1]Initiated!$A:$Y,3,FALSE))</f>
        <v/>
      </c>
      <c r="T266" s="4" t="str">
        <f t="shared" ca="1" si="59"/>
        <v/>
      </c>
      <c r="U266" s="5" t="str">
        <f t="shared" si="60"/>
        <v/>
      </c>
      <c r="V266" s="5" t="str">
        <f t="shared" si="61"/>
        <v/>
      </c>
      <c r="W266" s="4" t="str">
        <f>IF(A266="","",VLOOKUP(J266,[1]Initiated!$A:$Y,10,0))</f>
        <v/>
      </c>
      <c r="X266" s="5" t="str">
        <f t="shared" si="62"/>
        <v/>
      </c>
    </row>
    <row r="267" spans="1:24" x14ac:dyDescent="0.25">
      <c r="A267" s="6"/>
      <c r="B267" s="6" t="str">
        <f t="shared" si="52"/>
        <v/>
      </c>
      <c r="C267" s="6" t="str">
        <f t="shared" si="53"/>
        <v/>
      </c>
      <c r="D267" s="6"/>
      <c r="E267" s="6"/>
      <c r="F267" s="6"/>
      <c r="G267" s="6"/>
      <c r="H267" s="6" t="str">
        <f t="shared" si="54"/>
        <v/>
      </c>
      <c r="I267" s="6" t="str">
        <f t="shared" ca="1" si="55"/>
        <v/>
      </c>
      <c r="J267" s="3" t="str">
        <f t="shared" si="56"/>
        <v/>
      </c>
      <c r="K267" s="6" t="str">
        <f>IF(A267="","",VLOOKUP(J267,[1]Initiated!$A:$Y,2,0))</f>
        <v/>
      </c>
      <c r="L267" s="2" t="str">
        <f>IF(A267="","",VLOOKUP(J267,[1]Initiated!$A:$Y,5,FALSE))</f>
        <v/>
      </c>
      <c r="M267" s="6" t="str">
        <f>IF(A267="","",VLOOKUP(J267,[1]Initiated!$A:$Y,6,FALSE))</f>
        <v/>
      </c>
      <c r="N267" s="6" t="str">
        <f>IF(A267="","",VLOOKUP(J267,[1]Initiated!$A:$Y,9,FALSE))</f>
        <v/>
      </c>
      <c r="O267" s="3" t="str">
        <f t="shared" si="57"/>
        <v/>
      </c>
      <c r="P267" s="6" t="str">
        <f>IF(OR(A267="", ISNUMBER(SEARCH("PFr", C267))), "", VLOOKUP(J267, [1]Initiated!$A:$Y, 7, FALSE))</f>
        <v/>
      </c>
      <c r="Q267" s="6" t="str">
        <f>IF(OR(A267="", ISNUMBER(SEARCH("PFr", C267))), "", VLOOKUP(J267, [1]Initiated!$A:$Y, 8, 0))</f>
        <v/>
      </c>
      <c r="R267" s="5" t="str">
        <f t="shared" si="58"/>
        <v/>
      </c>
      <c r="S267" s="4" t="str">
        <f>IF(A267="","",VLOOKUP(J267,[1]Initiated!$A:$Y,3,FALSE))</f>
        <v/>
      </c>
      <c r="T267" s="4" t="str">
        <f t="shared" ca="1" si="59"/>
        <v/>
      </c>
      <c r="U267" s="5" t="str">
        <f t="shared" si="60"/>
        <v/>
      </c>
      <c r="V267" s="5" t="str">
        <f t="shared" si="61"/>
        <v/>
      </c>
      <c r="W267" s="4" t="str">
        <f>IF(A267="","",VLOOKUP(J267,[1]Initiated!$A:$Y,10,0))</f>
        <v/>
      </c>
      <c r="X267" s="5" t="str">
        <f t="shared" si="62"/>
        <v/>
      </c>
    </row>
    <row r="268" spans="1:24" x14ac:dyDescent="0.25">
      <c r="A268" s="6"/>
      <c r="B268" s="6" t="str">
        <f t="shared" si="52"/>
        <v/>
      </c>
      <c r="C268" s="6" t="str">
        <f t="shared" si="53"/>
        <v/>
      </c>
      <c r="D268" s="6"/>
      <c r="E268" s="6"/>
      <c r="F268" s="6"/>
      <c r="G268" s="6"/>
      <c r="H268" s="6" t="str">
        <f t="shared" si="54"/>
        <v/>
      </c>
      <c r="I268" s="6" t="str">
        <f t="shared" ca="1" si="55"/>
        <v/>
      </c>
      <c r="J268" s="3" t="str">
        <f t="shared" si="56"/>
        <v/>
      </c>
      <c r="K268" s="6" t="str">
        <f>IF(A268="","",VLOOKUP(J268,[1]Initiated!$A:$Y,2,0))</f>
        <v/>
      </c>
      <c r="L268" s="2" t="str">
        <f>IF(A268="","",VLOOKUP(J268,[1]Initiated!$A:$Y,5,FALSE))</f>
        <v/>
      </c>
      <c r="M268" s="6" t="str">
        <f>IF(A268="","",VLOOKUP(J268,[1]Initiated!$A:$Y,6,FALSE))</f>
        <v/>
      </c>
      <c r="N268" s="6" t="str">
        <f>IF(A268="","",VLOOKUP(J268,[1]Initiated!$A:$Y,9,FALSE))</f>
        <v/>
      </c>
      <c r="O268" s="3" t="str">
        <f t="shared" si="57"/>
        <v/>
      </c>
      <c r="P268" s="6" t="str">
        <f>IF(OR(A268="", ISNUMBER(SEARCH("PFr", C268))), "", VLOOKUP(J268, [1]Initiated!$A:$Y, 7, FALSE))</f>
        <v/>
      </c>
      <c r="Q268" s="6" t="str">
        <f>IF(OR(A268="", ISNUMBER(SEARCH("PFr", C268))), "", VLOOKUP(J268, [1]Initiated!$A:$Y, 8, 0))</f>
        <v/>
      </c>
      <c r="R268" s="5" t="str">
        <f t="shared" si="58"/>
        <v/>
      </c>
      <c r="S268" s="4" t="str">
        <f>IF(A268="","",VLOOKUP(J268,[1]Initiated!$A:$Y,3,FALSE))</f>
        <v/>
      </c>
      <c r="T268" s="4" t="str">
        <f t="shared" ca="1" si="59"/>
        <v/>
      </c>
      <c r="U268" s="5" t="str">
        <f t="shared" si="60"/>
        <v/>
      </c>
      <c r="V268" s="5" t="str">
        <f t="shared" si="61"/>
        <v/>
      </c>
      <c r="W268" s="4" t="str">
        <f>IF(A268="","",VLOOKUP(J268,[1]Initiated!$A:$Y,10,0))</f>
        <v/>
      </c>
      <c r="X268" s="5" t="str">
        <f t="shared" si="62"/>
        <v/>
      </c>
    </row>
    <row r="269" spans="1:24" x14ac:dyDescent="0.25">
      <c r="A269" s="6"/>
      <c r="B269" s="6" t="str">
        <f t="shared" si="52"/>
        <v/>
      </c>
      <c r="C269" s="6" t="str">
        <f t="shared" si="53"/>
        <v/>
      </c>
      <c r="D269" s="6"/>
      <c r="E269" s="6"/>
      <c r="F269" s="6"/>
      <c r="G269" s="6"/>
      <c r="H269" s="6" t="str">
        <f t="shared" si="54"/>
        <v/>
      </c>
      <c r="I269" s="6" t="str">
        <f t="shared" ca="1" si="55"/>
        <v/>
      </c>
      <c r="J269" s="3" t="str">
        <f t="shared" si="56"/>
        <v/>
      </c>
      <c r="K269" s="6" t="str">
        <f>IF(A269="","",VLOOKUP(J269,[1]Initiated!$A:$Y,2,0))</f>
        <v/>
      </c>
      <c r="L269" s="2" t="str">
        <f>IF(A269="","",VLOOKUP(J269,[1]Initiated!$A:$Y,5,FALSE))</f>
        <v/>
      </c>
      <c r="M269" s="6" t="str">
        <f>IF(A269="","",VLOOKUP(J269,[1]Initiated!$A:$Y,6,FALSE))</f>
        <v/>
      </c>
      <c r="N269" s="6" t="str">
        <f>IF(A269="","",VLOOKUP(J269,[1]Initiated!$A:$Y,9,FALSE))</f>
        <v/>
      </c>
      <c r="O269" s="3" t="str">
        <f t="shared" si="57"/>
        <v/>
      </c>
      <c r="P269" s="6" t="str">
        <f>IF(OR(A269="", ISNUMBER(SEARCH("PFr", C269))), "", VLOOKUP(J269, [1]Initiated!$A:$Y, 7, FALSE))</f>
        <v/>
      </c>
      <c r="Q269" s="6" t="str">
        <f>IF(OR(A269="", ISNUMBER(SEARCH("PFr", C269))), "", VLOOKUP(J269, [1]Initiated!$A:$Y, 8, 0))</f>
        <v/>
      </c>
      <c r="R269" s="5" t="str">
        <f t="shared" si="58"/>
        <v/>
      </c>
      <c r="S269" s="4" t="str">
        <f>IF(A269="","",VLOOKUP(J269,[1]Initiated!$A:$Y,3,FALSE))</f>
        <v/>
      </c>
      <c r="T269" s="4" t="str">
        <f t="shared" ca="1" si="59"/>
        <v/>
      </c>
      <c r="U269" s="5" t="str">
        <f t="shared" si="60"/>
        <v/>
      </c>
      <c r="V269" s="5" t="str">
        <f t="shared" si="61"/>
        <v/>
      </c>
      <c r="W269" s="4" t="str">
        <f>IF(A269="","",VLOOKUP(J269,[1]Initiated!$A:$Y,10,0))</f>
        <v/>
      </c>
      <c r="X269" s="5" t="str">
        <f t="shared" si="62"/>
        <v/>
      </c>
    </row>
    <row r="270" spans="1:24" x14ac:dyDescent="0.25">
      <c r="A270" s="6"/>
      <c r="B270" s="6" t="str">
        <f t="shared" si="52"/>
        <v/>
      </c>
      <c r="C270" s="6" t="str">
        <f t="shared" si="53"/>
        <v/>
      </c>
      <c r="D270" s="6"/>
      <c r="E270" s="6"/>
      <c r="F270" s="6"/>
      <c r="G270" s="6"/>
      <c r="H270" s="6" t="str">
        <f t="shared" si="54"/>
        <v/>
      </c>
      <c r="I270" s="6" t="str">
        <f t="shared" ca="1" si="55"/>
        <v/>
      </c>
      <c r="J270" s="3" t="str">
        <f t="shared" si="56"/>
        <v/>
      </c>
      <c r="K270" s="6" t="str">
        <f>IF(A270="","",VLOOKUP(J270,[1]Initiated!$A:$Y,2,0))</f>
        <v/>
      </c>
      <c r="L270" s="2" t="str">
        <f>IF(A270="","",VLOOKUP(J270,[1]Initiated!$A:$Y,5,FALSE))</f>
        <v/>
      </c>
      <c r="M270" s="6" t="str">
        <f>IF(A270="","",VLOOKUP(J270,[1]Initiated!$A:$Y,6,FALSE))</f>
        <v/>
      </c>
      <c r="N270" s="6" t="str">
        <f>IF(A270="","",VLOOKUP(J270,[1]Initiated!$A:$Y,9,FALSE))</f>
        <v/>
      </c>
      <c r="O270" s="3" t="str">
        <f t="shared" si="57"/>
        <v/>
      </c>
      <c r="P270" s="6" t="str">
        <f>IF(OR(A270="", ISNUMBER(SEARCH("PFr", C270))), "", VLOOKUP(J270, [1]Initiated!$A:$Y, 7, FALSE))</f>
        <v/>
      </c>
      <c r="Q270" s="6" t="str">
        <f>IF(OR(A270="", ISNUMBER(SEARCH("PFr", C270))), "", VLOOKUP(J270, [1]Initiated!$A:$Y, 8, 0))</f>
        <v/>
      </c>
      <c r="R270" s="5" t="str">
        <f t="shared" si="58"/>
        <v/>
      </c>
      <c r="S270" s="4" t="str">
        <f>IF(A270="","",VLOOKUP(J270,[1]Initiated!$A:$Y,3,FALSE))</f>
        <v/>
      </c>
      <c r="T270" s="4" t="str">
        <f t="shared" ca="1" si="59"/>
        <v/>
      </c>
      <c r="U270" s="5" t="str">
        <f t="shared" si="60"/>
        <v/>
      </c>
      <c r="V270" s="5" t="str">
        <f t="shared" si="61"/>
        <v/>
      </c>
      <c r="W270" s="4" t="str">
        <f>IF(A270="","",VLOOKUP(J270,[1]Initiated!$A:$Y,10,0))</f>
        <v/>
      </c>
      <c r="X270" s="5" t="str">
        <f t="shared" si="62"/>
        <v/>
      </c>
    </row>
    <row r="271" spans="1:24" x14ac:dyDescent="0.25">
      <c r="A271" s="6"/>
      <c r="B271" s="6" t="str">
        <f t="shared" si="52"/>
        <v/>
      </c>
      <c r="C271" s="6" t="str">
        <f t="shared" si="53"/>
        <v/>
      </c>
      <c r="D271" s="6"/>
      <c r="E271" s="6"/>
      <c r="F271" s="6"/>
      <c r="G271" s="6"/>
      <c r="H271" s="6" t="str">
        <f t="shared" si="54"/>
        <v/>
      </c>
      <c r="I271" s="6" t="str">
        <f t="shared" ca="1" si="55"/>
        <v/>
      </c>
      <c r="J271" s="3" t="str">
        <f t="shared" si="56"/>
        <v/>
      </c>
      <c r="K271" s="6" t="str">
        <f>IF(A271="","",VLOOKUP(J271,[1]Initiated!$A:$Y,2,0))</f>
        <v/>
      </c>
      <c r="L271" s="2" t="str">
        <f>IF(A271="","",VLOOKUP(J271,[1]Initiated!$A:$Y,5,FALSE))</f>
        <v/>
      </c>
      <c r="M271" s="6" t="str">
        <f>IF(A271="","",VLOOKUP(J271,[1]Initiated!$A:$Y,6,FALSE))</f>
        <v/>
      </c>
      <c r="N271" s="6" t="str">
        <f>IF(A271="","",VLOOKUP(J271,[1]Initiated!$A:$Y,9,FALSE))</f>
        <v/>
      </c>
      <c r="O271" s="3" t="str">
        <f t="shared" si="57"/>
        <v/>
      </c>
      <c r="P271" s="6" t="str">
        <f>IF(OR(A271="", ISNUMBER(SEARCH("PFr", C271))), "", VLOOKUP(J271, [1]Initiated!$A:$Y, 7, FALSE))</f>
        <v/>
      </c>
      <c r="Q271" s="6" t="str">
        <f>IF(OR(A271="", ISNUMBER(SEARCH("PFr", C271))), "", VLOOKUP(J271, [1]Initiated!$A:$Y, 8, 0))</f>
        <v/>
      </c>
      <c r="R271" s="5" t="str">
        <f t="shared" si="58"/>
        <v/>
      </c>
      <c r="S271" s="4" t="str">
        <f>IF(A271="","",VLOOKUP(J271,[1]Initiated!$A:$Y,3,FALSE))</f>
        <v/>
      </c>
      <c r="T271" s="4" t="str">
        <f t="shared" ca="1" si="59"/>
        <v/>
      </c>
      <c r="U271" s="5" t="str">
        <f t="shared" si="60"/>
        <v/>
      </c>
      <c r="V271" s="5" t="str">
        <f t="shared" si="61"/>
        <v/>
      </c>
      <c r="W271" s="4" t="str">
        <f>IF(A271="","",VLOOKUP(J271,[1]Initiated!$A:$Y,10,0))</f>
        <v/>
      </c>
      <c r="X271" s="5" t="str">
        <f t="shared" si="62"/>
        <v/>
      </c>
    </row>
    <row r="272" spans="1:24" x14ac:dyDescent="0.25">
      <c r="A272" s="6"/>
      <c r="B272" s="6" t="str">
        <f t="shared" si="52"/>
        <v/>
      </c>
      <c r="C272" s="6" t="str">
        <f t="shared" si="53"/>
        <v/>
      </c>
      <c r="D272" s="6"/>
      <c r="E272" s="6"/>
      <c r="F272" s="6"/>
      <c r="G272" s="6"/>
      <c r="H272" s="6" t="str">
        <f t="shared" si="54"/>
        <v/>
      </c>
      <c r="I272" s="6" t="str">
        <f t="shared" ca="1" si="55"/>
        <v/>
      </c>
      <c r="J272" s="3" t="str">
        <f t="shared" si="56"/>
        <v/>
      </c>
      <c r="K272" s="6" t="str">
        <f>IF(A272="","",VLOOKUP(J272,[1]Initiated!$A:$Y,2,0))</f>
        <v/>
      </c>
      <c r="L272" s="2" t="str">
        <f>IF(A272="","",VLOOKUP(J272,[1]Initiated!$A:$Y,5,FALSE))</f>
        <v/>
      </c>
      <c r="M272" s="6" t="str">
        <f>IF(A272="","",VLOOKUP(J272,[1]Initiated!$A:$Y,6,FALSE))</f>
        <v/>
      </c>
      <c r="N272" s="6" t="str">
        <f>IF(A272="","",VLOOKUP(J272,[1]Initiated!$A:$Y,9,FALSE))</f>
        <v/>
      </c>
      <c r="O272" s="3" t="str">
        <f t="shared" si="57"/>
        <v/>
      </c>
      <c r="P272" s="6" t="str">
        <f>IF(OR(A272="", ISNUMBER(SEARCH("PFr", C272))), "", VLOOKUP(J272, [1]Initiated!$A:$Y, 7, FALSE))</f>
        <v/>
      </c>
      <c r="Q272" s="6" t="str">
        <f>IF(OR(A272="", ISNUMBER(SEARCH("PFr", C272))), "", VLOOKUP(J272, [1]Initiated!$A:$Y, 8, 0))</f>
        <v/>
      </c>
      <c r="R272" s="5" t="str">
        <f t="shared" si="58"/>
        <v/>
      </c>
      <c r="S272" s="4" t="str">
        <f>IF(A272="","",VLOOKUP(J272,[1]Initiated!$A:$Y,3,FALSE))</f>
        <v/>
      </c>
      <c r="T272" s="4" t="str">
        <f t="shared" ca="1" si="59"/>
        <v/>
      </c>
      <c r="U272" s="5" t="str">
        <f t="shared" si="60"/>
        <v/>
      </c>
      <c r="V272" s="5" t="str">
        <f t="shared" si="61"/>
        <v/>
      </c>
      <c r="W272" s="4" t="str">
        <f>IF(A272="","",VLOOKUP(J272,[1]Initiated!$A:$Y,10,0))</f>
        <v/>
      </c>
      <c r="X272" s="5" t="str">
        <f t="shared" si="62"/>
        <v/>
      </c>
    </row>
    <row r="273" spans="1:24" x14ac:dyDescent="0.25">
      <c r="A273" s="6"/>
      <c r="B273" s="6" t="str">
        <f t="shared" si="52"/>
        <v/>
      </c>
      <c r="C273" s="6" t="str">
        <f t="shared" si="53"/>
        <v/>
      </c>
      <c r="D273" s="6"/>
      <c r="E273" s="6"/>
      <c r="F273" s="6"/>
      <c r="G273" s="6"/>
      <c r="H273" s="6" t="str">
        <f t="shared" si="54"/>
        <v/>
      </c>
      <c r="I273" s="6" t="str">
        <f t="shared" ca="1" si="55"/>
        <v/>
      </c>
      <c r="J273" s="3" t="str">
        <f t="shared" si="56"/>
        <v/>
      </c>
      <c r="K273" s="6" t="str">
        <f>IF(A273="","",VLOOKUP(J273,[1]Initiated!$A:$Y,2,0))</f>
        <v/>
      </c>
      <c r="L273" s="2" t="str">
        <f>IF(A273="","",VLOOKUP(J273,[1]Initiated!$A:$Y,5,FALSE))</f>
        <v/>
      </c>
      <c r="M273" s="6" t="str">
        <f>IF(A273="","",VLOOKUP(J273,[1]Initiated!$A:$Y,6,FALSE))</f>
        <v/>
      </c>
      <c r="N273" s="6" t="str">
        <f>IF(A273="","",VLOOKUP(J273,[1]Initiated!$A:$Y,9,FALSE))</f>
        <v/>
      </c>
      <c r="O273" s="3" t="str">
        <f t="shared" si="57"/>
        <v/>
      </c>
      <c r="P273" s="6" t="str">
        <f>IF(OR(A273="", ISNUMBER(SEARCH("PFr", C273))), "", VLOOKUP(J273, [1]Initiated!$A:$Y, 7, FALSE))</f>
        <v/>
      </c>
      <c r="Q273" s="6" t="str">
        <f>IF(OR(A273="", ISNUMBER(SEARCH("PFr", C273))), "", VLOOKUP(J273, [1]Initiated!$A:$Y, 8, 0))</f>
        <v/>
      </c>
      <c r="R273" s="5" t="str">
        <f t="shared" si="58"/>
        <v/>
      </c>
      <c r="S273" s="4" t="str">
        <f>IF(A273="","",VLOOKUP(J273,[1]Initiated!$A:$Y,3,FALSE))</f>
        <v/>
      </c>
      <c r="T273" s="4" t="str">
        <f t="shared" ca="1" si="59"/>
        <v/>
      </c>
      <c r="U273" s="5" t="str">
        <f t="shared" si="60"/>
        <v/>
      </c>
      <c r="V273" s="5" t="str">
        <f t="shared" si="61"/>
        <v/>
      </c>
      <c r="W273" s="4" t="str">
        <f>IF(A273="","",VLOOKUP(J273,[1]Initiated!$A:$Y,10,0))</f>
        <v/>
      </c>
      <c r="X273" s="5" t="str">
        <f t="shared" si="62"/>
        <v/>
      </c>
    </row>
    <row r="274" spans="1:24" x14ac:dyDescent="0.25">
      <c r="A274" s="6"/>
      <c r="B274" s="6" t="str">
        <f t="shared" si="52"/>
        <v/>
      </c>
      <c r="C274" s="6" t="str">
        <f t="shared" si="53"/>
        <v/>
      </c>
      <c r="D274" s="6"/>
      <c r="E274" s="6"/>
      <c r="F274" s="6"/>
      <c r="G274" s="6"/>
      <c r="H274" s="6" t="str">
        <f t="shared" si="54"/>
        <v/>
      </c>
      <c r="I274" s="6" t="str">
        <f t="shared" ca="1" si="55"/>
        <v/>
      </c>
      <c r="J274" s="3" t="str">
        <f t="shared" si="56"/>
        <v/>
      </c>
      <c r="K274" s="6" t="str">
        <f>IF(A274="","",VLOOKUP(J274,[1]Initiated!$A:$Y,2,0))</f>
        <v/>
      </c>
      <c r="L274" s="2" t="str">
        <f>IF(A274="","",VLOOKUP(J274,[1]Initiated!$A:$Y,5,FALSE))</f>
        <v/>
      </c>
      <c r="M274" s="6" t="str">
        <f>IF(A274="","",VLOOKUP(J274,[1]Initiated!$A:$Y,6,FALSE))</f>
        <v/>
      </c>
      <c r="N274" s="6" t="str">
        <f>IF(A274="","",VLOOKUP(J274,[1]Initiated!$A:$Y,9,FALSE))</f>
        <v/>
      </c>
      <c r="O274" s="3" t="str">
        <f t="shared" si="57"/>
        <v/>
      </c>
      <c r="P274" s="6" t="str">
        <f>IF(OR(A274="", ISNUMBER(SEARCH("PFr", C274))), "", VLOOKUP(J274, [1]Initiated!$A:$Y, 7, FALSE))</f>
        <v/>
      </c>
      <c r="Q274" s="6" t="str">
        <f>IF(OR(A274="", ISNUMBER(SEARCH("PFr", C274))), "", VLOOKUP(J274, [1]Initiated!$A:$Y, 8, 0))</f>
        <v/>
      </c>
      <c r="R274" s="5" t="str">
        <f t="shared" si="58"/>
        <v/>
      </c>
      <c r="S274" s="4" t="str">
        <f>IF(A274="","",VLOOKUP(J274,[1]Initiated!$A:$Y,3,FALSE))</f>
        <v/>
      </c>
      <c r="T274" s="4" t="str">
        <f t="shared" ca="1" si="59"/>
        <v/>
      </c>
      <c r="U274" s="5" t="str">
        <f t="shared" si="60"/>
        <v/>
      </c>
      <c r="V274" s="5" t="str">
        <f t="shared" si="61"/>
        <v/>
      </c>
      <c r="W274" s="4" t="str">
        <f>IF(A274="","",VLOOKUP(J274,[1]Initiated!$A:$Y,10,0))</f>
        <v/>
      </c>
      <c r="X274" s="5" t="str">
        <f t="shared" si="62"/>
        <v/>
      </c>
    </row>
    <row r="275" spans="1:24" x14ac:dyDescent="0.25">
      <c r="A275" s="6"/>
      <c r="B275" s="6" t="str">
        <f t="shared" si="52"/>
        <v/>
      </c>
      <c r="C275" s="6" t="str">
        <f t="shared" si="53"/>
        <v/>
      </c>
      <c r="D275" s="6"/>
      <c r="E275" s="6"/>
      <c r="F275" s="6"/>
      <c r="G275" s="6"/>
      <c r="H275" s="6" t="str">
        <f t="shared" si="54"/>
        <v/>
      </c>
      <c r="I275" s="6" t="str">
        <f t="shared" ca="1" si="55"/>
        <v/>
      </c>
      <c r="J275" s="3" t="str">
        <f t="shared" si="56"/>
        <v/>
      </c>
      <c r="K275" s="6" t="str">
        <f>IF(A275="","",VLOOKUP(J275,[1]Initiated!$A:$Y,2,0))</f>
        <v/>
      </c>
      <c r="L275" s="2" t="str">
        <f>IF(A275="","",VLOOKUP(J275,[1]Initiated!$A:$Y,5,FALSE))</f>
        <v/>
      </c>
      <c r="M275" s="6" t="str">
        <f>IF(A275="","",VLOOKUP(J275,[1]Initiated!$A:$Y,6,FALSE))</f>
        <v/>
      </c>
      <c r="N275" s="6" t="str">
        <f>IF(A275="","",VLOOKUP(J275,[1]Initiated!$A:$Y,9,FALSE))</f>
        <v/>
      </c>
      <c r="O275" s="3" t="str">
        <f t="shared" si="57"/>
        <v/>
      </c>
      <c r="P275" s="6" t="str">
        <f>IF(OR(A275="", ISNUMBER(SEARCH("PFr", C275))), "", VLOOKUP(J275, [1]Initiated!$A:$Y, 7, FALSE))</f>
        <v/>
      </c>
      <c r="Q275" s="6" t="str">
        <f>IF(OR(A275="", ISNUMBER(SEARCH("PFr", C275))), "", VLOOKUP(J275, [1]Initiated!$A:$Y, 8, 0))</f>
        <v/>
      </c>
      <c r="R275" s="5" t="str">
        <f t="shared" si="58"/>
        <v/>
      </c>
      <c r="S275" s="4" t="str">
        <f>IF(A275="","",VLOOKUP(J275,[1]Initiated!$A:$Y,3,FALSE))</f>
        <v/>
      </c>
      <c r="T275" s="4" t="str">
        <f t="shared" ca="1" si="59"/>
        <v/>
      </c>
      <c r="U275" s="5" t="str">
        <f t="shared" si="60"/>
        <v/>
      </c>
      <c r="V275" s="5" t="str">
        <f t="shared" si="61"/>
        <v/>
      </c>
      <c r="W275" s="4" t="str">
        <f>IF(A275="","",VLOOKUP(J275,[1]Initiated!$A:$Y,10,0))</f>
        <v/>
      </c>
      <c r="X275" s="5" t="str">
        <f t="shared" si="62"/>
        <v/>
      </c>
    </row>
    <row r="276" spans="1:24" x14ac:dyDescent="0.25">
      <c r="A276" s="6"/>
      <c r="B276" s="6" t="str">
        <f t="shared" si="52"/>
        <v/>
      </c>
      <c r="C276" s="6" t="str">
        <f t="shared" si="53"/>
        <v/>
      </c>
      <c r="D276" s="6"/>
      <c r="E276" s="6"/>
      <c r="F276" s="6"/>
      <c r="G276" s="6"/>
      <c r="H276" s="6" t="str">
        <f t="shared" si="54"/>
        <v/>
      </c>
      <c r="I276" s="6" t="str">
        <f t="shared" ca="1" si="55"/>
        <v/>
      </c>
      <c r="J276" s="3" t="str">
        <f t="shared" si="56"/>
        <v/>
      </c>
      <c r="K276" s="6" t="str">
        <f>IF(A276="","",VLOOKUP(J276,[1]Initiated!$A:$Y,2,0))</f>
        <v/>
      </c>
      <c r="L276" s="2" t="str">
        <f>IF(A276="","",VLOOKUP(J276,[1]Initiated!$A:$Y,5,FALSE))</f>
        <v/>
      </c>
      <c r="M276" s="6" t="str">
        <f>IF(A276="","",VLOOKUP(J276,[1]Initiated!$A:$Y,6,FALSE))</f>
        <v/>
      </c>
      <c r="N276" s="6" t="str">
        <f>IF(A276="","",VLOOKUP(J276,[1]Initiated!$A:$Y,9,FALSE))</f>
        <v/>
      </c>
      <c r="O276" s="3" t="str">
        <f t="shared" si="57"/>
        <v/>
      </c>
      <c r="P276" s="6" t="str">
        <f>IF(OR(A276="", ISNUMBER(SEARCH("PFr", C276))), "", VLOOKUP(J276, [1]Initiated!$A:$Y, 7, FALSE))</f>
        <v/>
      </c>
      <c r="Q276" s="6" t="str">
        <f>IF(OR(A276="", ISNUMBER(SEARCH("PFr", C276))), "", VLOOKUP(J276, [1]Initiated!$A:$Y, 8, 0))</f>
        <v/>
      </c>
      <c r="R276" s="5" t="str">
        <f t="shared" si="58"/>
        <v/>
      </c>
      <c r="S276" s="4" t="str">
        <f>IF(A276="","",VLOOKUP(J276,[1]Initiated!$A:$Y,3,FALSE))</f>
        <v/>
      </c>
      <c r="T276" s="4" t="str">
        <f t="shared" ca="1" si="59"/>
        <v/>
      </c>
      <c r="U276" s="5" t="str">
        <f t="shared" si="60"/>
        <v/>
      </c>
      <c r="V276" s="5" t="str">
        <f t="shared" si="61"/>
        <v/>
      </c>
      <c r="W276" s="4" t="str">
        <f>IF(A276="","",VLOOKUP(J276,[1]Initiated!$A:$Y,10,0))</f>
        <v/>
      </c>
      <c r="X276" s="5" t="str">
        <f t="shared" si="62"/>
        <v/>
      </c>
    </row>
    <row r="277" spans="1:24" x14ac:dyDescent="0.25">
      <c r="A277" s="6"/>
      <c r="B277" s="6" t="str">
        <f t="shared" si="52"/>
        <v/>
      </c>
      <c r="C277" s="6" t="str">
        <f t="shared" si="53"/>
        <v/>
      </c>
      <c r="D277" s="6"/>
      <c r="E277" s="6"/>
      <c r="F277" s="6"/>
      <c r="G277" s="6"/>
      <c r="H277" s="6" t="str">
        <f t="shared" si="54"/>
        <v/>
      </c>
      <c r="I277" s="6" t="str">
        <f t="shared" ca="1" si="55"/>
        <v/>
      </c>
      <c r="J277" s="3" t="str">
        <f t="shared" si="56"/>
        <v/>
      </c>
      <c r="K277" s="6" t="str">
        <f>IF(A277="","",VLOOKUP(J277,[1]Initiated!$A:$Y,2,0))</f>
        <v/>
      </c>
      <c r="L277" s="2" t="str">
        <f>IF(A277="","",VLOOKUP(J277,[1]Initiated!$A:$Y,5,FALSE))</f>
        <v/>
      </c>
      <c r="M277" s="6" t="str">
        <f>IF(A277="","",VLOOKUP(J277,[1]Initiated!$A:$Y,6,FALSE))</f>
        <v/>
      </c>
      <c r="N277" s="6" t="str">
        <f>IF(A277="","",VLOOKUP(J277,[1]Initiated!$A:$Y,9,FALSE))</f>
        <v/>
      </c>
      <c r="O277" s="3" t="str">
        <f t="shared" si="57"/>
        <v/>
      </c>
      <c r="P277" s="6" t="str">
        <f>IF(OR(A277="", ISNUMBER(SEARCH("PFr", C277))), "", VLOOKUP(J277, [1]Initiated!$A:$Y, 7, FALSE))</f>
        <v/>
      </c>
      <c r="Q277" s="6" t="str">
        <f>IF(OR(A277="", ISNUMBER(SEARCH("PFr", C277))), "", VLOOKUP(J277, [1]Initiated!$A:$Y, 8, 0))</f>
        <v/>
      </c>
      <c r="R277" s="5" t="str">
        <f t="shared" si="58"/>
        <v/>
      </c>
      <c r="S277" s="4" t="str">
        <f>IF(A277="","",VLOOKUP(J277,[1]Initiated!$A:$Y,3,FALSE))</f>
        <v/>
      </c>
      <c r="T277" s="4" t="str">
        <f t="shared" ca="1" si="59"/>
        <v/>
      </c>
      <c r="U277" s="5" t="str">
        <f t="shared" si="60"/>
        <v/>
      </c>
      <c r="V277" s="5" t="str">
        <f t="shared" si="61"/>
        <v/>
      </c>
      <c r="W277" s="4" t="str">
        <f>IF(A277="","",VLOOKUP(J277,[1]Initiated!$A:$Y,10,0))</f>
        <v/>
      </c>
      <c r="X277" s="5" t="str">
        <f t="shared" si="62"/>
        <v/>
      </c>
    </row>
    <row r="278" spans="1:24" x14ac:dyDescent="0.25">
      <c r="A278" s="6"/>
      <c r="B278" s="6" t="str">
        <f t="shared" si="52"/>
        <v/>
      </c>
      <c r="C278" s="6" t="str">
        <f t="shared" si="53"/>
        <v/>
      </c>
      <c r="D278" s="6"/>
      <c r="E278" s="6"/>
      <c r="F278" s="6"/>
      <c r="G278" s="6"/>
      <c r="H278" s="6" t="str">
        <f t="shared" si="54"/>
        <v/>
      </c>
      <c r="I278" s="6" t="str">
        <f t="shared" ca="1" si="55"/>
        <v/>
      </c>
      <c r="J278" s="3" t="str">
        <f t="shared" si="56"/>
        <v/>
      </c>
      <c r="K278" s="6" t="str">
        <f>IF(A278="","",VLOOKUP(J278,[1]Initiated!$A:$Y,2,0))</f>
        <v/>
      </c>
      <c r="L278" s="2" t="str">
        <f>IF(A278="","",VLOOKUP(J278,[1]Initiated!$A:$Y,5,FALSE))</f>
        <v/>
      </c>
      <c r="M278" s="6" t="str">
        <f>IF(A278="","",VLOOKUP(J278,[1]Initiated!$A:$Y,6,FALSE))</f>
        <v/>
      </c>
      <c r="N278" s="6" t="str">
        <f>IF(A278="","",VLOOKUP(J278,[1]Initiated!$A:$Y,9,FALSE))</f>
        <v/>
      </c>
      <c r="O278" s="3" t="str">
        <f t="shared" si="57"/>
        <v/>
      </c>
      <c r="P278" s="6" t="str">
        <f>IF(OR(A278="", ISNUMBER(SEARCH("PFr", C278))), "", VLOOKUP(J278, [1]Initiated!$A:$Y, 7, FALSE))</f>
        <v/>
      </c>
      <c r="Q278" s="6" t="str">
        <f>IF(OR(A278="", ISNUMBER(SEARCH("PFr", C278))), "", VLOOKUP(J278, [1]Initiated!$A:$Y, 8, 0))</f>
        <v/>
      </c>
      <c r="R278" s="5" t="str">
        <f t="shared" si="58"/>
        <v/>
      </c>
      <c r="S278" s="4" t="str">
        <f>IF(A278="","",VLOOKUP(J278,[1]Initiated!$A:$Y,3,FALSE))</f>
        <v/>
      </c>
      <c r="T278" s="4" t="str">
        <f t="shared" ca="1" si="59"/>
        <v/>
      </c>
      <c r="U278" s="5" t="str">
        <f t="shared" si="60"/>
        <v/>
      </c>
      <c r="V278" s="5" t="str">
        <f t="shared" si="61"/>
        <v/>
      </c>
      <c r="W278" s="4" t="str">
        <f>IF(A278="","",VLOOKUP(J278,[1]Initiated!$A:$Y,10,0))</f>
        <v/>
      </c>
      <c r="X278" s="5" t="str">
        <f t="shared" si="62"/>
        <v/>
      </c>
    </row>
    <row r="279" spans="1:24" x14ac:dyDescent="0.25">
      <c r="A279" s="6"/>
      <c r="B279" s="6" t="str">
        <f t="shared" si="52"/>
        <v/>
      </c>
      <c r="C279" s="6" t="str">
        <f t="shared" si="53"/>
        <v/>
      </c>
      <c r="D279" s="6"/>
      <c r="E279" s="6"/>
      <c r="F279" s="6"/>
      <c r="G279" s="6"/>
      <c r="H279" s="6" t="str">
        <f t="shared" si="54"/>
        <v/>
      </c>
      <c r="I279" s="6" t="str">
        <f t="shared" ca="1" si="55"/>
        <v/>
      </c>
      <c r="J279" s="3" t="str">
        <f t="shared" si="56"/>
        <v/>
      </c>
      <c r="K279" s="6" t="str">
        <f>IF(A279="","",VLOOKUP(J279,[1]Initiated!$A:$Y,2,0))</f>
        <v/>
      </c>
      <c r="L279" s="2" t="str">
        <f>IF(A279="","",VLOOKUP(J279,[1]Initiated!$A:$Y,5,FALSE))</f>
        <v/>
      </c>
      <c r="M279" s="6" t="str">
        <f>IF(A279="","",VLOOKUP(J279,[1]Initiated!$A:$Y,6,FALSE))</f>
        <v/>
      </c>
      <c r="N279" s="6" t="str">
        <f>IF(A279="","",VLOOKUP(J279,[1]Initiated!$A:$Y,9,FALSE))</f>
        <v/>
      </c>
      <c r="O279" s="3" t="str">
        <f t="shared" si="57"/>
        <v/>
      </c>
      <c r="P279" s="6" t="str">
        <f>IF(OR(A279="", ISNUMBER(SEARCH("PFr", C279))), "", VLOOKUP(J279, [1]Initiated!$A:$Y, 7, FALSE))</f>
        <v/>
      </c>
      <c r="Q279" s="6" t="str">
        <f>IF(OR(A279="", ISNUMBER(SEARCH("PFr", C279))), "", VLOOKUP(J279, [1]Initiated!$A:$Y, 8, 0))</f>
        <v/>
      </c>
      <c r="R279" s="5" t="str">
        <f t="shared" si="58"/>
        <v/>
      </c>
      <c r="S279" s="4" t="str">
        <f>IF(A279="","",VLOOKUP(J279,[1]Initiated!$A:$Y,3,FALSE))</f>
        <v/>
      </c>
      <c r="T279" s="4" t="str">
        <f t="shared" ca="1" si="59"/>
        <v/>
      </c>
      <c r="U279" s="5" t="str">
        <f t="shared" si="60"/>
        <v/>
      </c>
      <c r="V279" s="5" t="str">
        <f t="shared" si="61"/>
        <v/>
      </c>
      <c r="W279" s="4" t="str">
        <f>IF(A279="","",VLOOKUP(J279,[1]Initiated!$A:$Y,10,0))</f>
        <v/>
      </c>
      <c r="X279" s="5" t="str">
        <f t="shared" si="62"/>
        <v/>
      </c>
    </row>
    <row r="280" spans="1:24" x14ac:dyDescent="0.25">
      <c r="A280" s="6"/>
      <c r="B280" s="6" t="str">
        <f t="shared" si="52"/>
        <v/>
      </c>
      <c r="C280" s="6" t="str">
        <f t="shared" si="53"/>
        <v/>
      </c>
      <c r="D280" s="6"/>
      <c r="E280" s="6"/>
      <c r="F280" s="6"/>
      <c r="G280" s="6"/>
      <c r="H280" s="6" t="str">
        <f t="shared" si="54"/>
        <v/>
      </c>
      <c r="I280" s="6" t="str">
        <f t="shared" ca="1" si="55"/>
        <v/>
      </c>
      <c r="J280" s="3" t="str">
        <f t="shared" si="56"/>
        <v/>
      </c>
      <c r="K280" s="6" t="str">
        <f>IF(A280="","",VLOOKUP(J280,[1]Initiated!$A:$Y,2,0))</f>
        <v/>
      </c>
      <c r="L280" s="2" t="str">
        <f>IF(A280="","",VLOOKUP(J280,[1]Initiated!$A:$Y,5,FALSE))</f>
        <v/>
      </c>
      <c r="M280" s="6" t="str">
        <f>IF(A280="","",VLOOKUP(J280,[1]Initiated!$A:$Y,6,FALSE))</f>
        <v/>
      </c>
      <c r="N280" s="6" t="str">
        <f>IF(A280="","",VLOOKUP(J280,[1]Initiated!$A:$Y,9,FALSE))</f>
        <v/>
      </c>
      <c r="O280" s="3" t="str">
        <f t="shared" si="57"/>
        <v/>
      </c>
      <c r="P280" s="6" t="str">
        <f>IF(OR(A280="", ISNUMBER(SEARCH("PFr", C280))), "", VLOOKUP(J280, [1]Initiated!$A:$Y, 7, FALSE))</f>
        <v/>
      </c>
      <c r="Q280" s="6" t="str">
        <f>IF(OR(A280="", ISNUMBER(SEARCH("PFr", C280))), "", VLOOKUP(J280, [1]Initiated!$A:$Y, 8, 0))</f>
        <v/>
      </c>
      <c r="R280" s="5" t="str">
        <f t="shared" si="58"/>
        <v/>
      </c>
      <c r="S280" s="4" t="str">
        <f>IF(A280="","",VLOOKUP(J280,[1]Initiated!$A:$Y,3,FALSE))</f>
        <v/>
      </c>
      <c r="T280" s="4" t="str">
        <f t="shared" ca="1" si="59"/>
        <v/>
      </c>
      <c r="U280" s="5" t="str">
        <f t="shared" si="60"/>
        <v/>
      </c>
      <c r="V280" s="5" t="str">
        <f t="shared" si="61"/>
        <v/>
      </c>
      <c r="W280" s="4" t="str">
        <f>IF(A280="","",VLOOKUP(J280,[1]Initiated!$A:$Y,10,0))</f>
        <v/>
      </c>
      <c r="X280" s="5" t="str">
        <f t="shared" si="62"/>
        <v/>
      </c>
    </row>
    <row r="281" spans="1:24" x14ac:dyDescent="0.25">
      <c r="A281" s="6"/>
      <c r="B281" s="6" t="str">
        <f t="shared" si="52"/>
        <v/>
      </c>
      <c r="C281" s="6" t="str">
        <f t="shared" si="53"/>
        <v/>
      </c>
      <c r="D281" s="6"/>
      <c r="E281" s="6"/>
      <c r="F281" s="6"/>
      <c r="G281" s="6"/>
      <c r="H281" s="6" t="str">
        <f t="shared" si="54"/>
        <v/>
      </c>
      <c r="I281" s="6" t="str">
        <f t="shared" ca="1" si="55"/>
        <v/>
      </c>
      <c r="J281" s="3" t="str">
        <f t="shared" si="56"/>
        <v/>
      </c>
      <c r="K281" s="6" t="str">
        <f>IF(A281="","",VLOOKUP(J281,[1]Initiated!$A:$Y,2,0))</f>
        <v/>
      </c>
      <c r="L281" s="2" t="str">
        <f>IF(A281="","",VLOOKUP(J281,[1]Initiated!$A:$Y,5,FALSE))</f>
        <v/>
      </c>
      <c r="M281" s="6" t="str">
        <f>IF(A281="","",VLOOKUP(J281,[1]Initiated!$A:$Y,6,FALSE))</f>
        <v/>
      </c>
      <c r="N281" s="6" t="str">
        <f>IF(A281="","",VLOOKUP(J281,[1]Initiated!$A:$Y,9,FALSE))</f>
        <v/>
      </c>
      <c r="O281" s="3" t="str">
        <f t="shared" si="57"/>
        <v/>
      </c>
      <c r="P281" s="6" t="str">
        <f>IF(OR(A281="", ISNUMBER(SEARCH("PFr", C281))), "", VLOOKUP(J281, [1]Initiated!$A:$Y, 7, FALSE))</f>
        <v/>
      </c>
      <c r="Q281" s="6" t="str">
        <f>IF(OR(A281="", ISNUMBER(SEARCH("PFr", C281))), "", VLOOKUP(J281, [1]Initiated!$A:$Y, 8, 0))</f>
        <v/>
      </c>
      <c r="R281" s="5" t="str">
        <f t="shared" si="58"/>
        <v/>
      </c>
      <c r="S281" s="4" t="str">
        <f>IF(A281="","",VLOOKUP(J281,[1]Initiated!$A:$Y,3,FALSE))</f>
        <v/>
      </c>
      <c r="T281" s="4" t="str">
        <f t="shared" ca="1" si="59"/>
        <v/>
      </c>
      <c r="U281" s="5" t="str">
        <f t="shared" si="60"/>
        <v/>
      </c>
      <c r="V281" s="5" t="str">
        <f t="shared" si="61"/>
        <v/>
      </c>
      <c r="W281" s="4" t="str">
        <f>IF(A281="","",VLOOKUP(J281,[1]Initiated!$A:$Y,10,0))</f>
        <v/>
      </c>
      <c r="X281" s="5" t="str">
        <f t="shared" si="62"/>
        <v/>
      </c>
    </row>
    <row r="282" spans="1:24" x14ac:dyDescent="0.25">
      <c r="A282" s="6"/>
      <c r="B282" s="6" t="str">
        <f t="shared" si="52"/>
        <v/>
      </c>
      <c r="C282" s="6" t="str">
        <f t="shared" si="53"/>
        <v/>
      </c>
      <c r="D282" s="6"/>
      <c r="E282" s="6"/>
      <c r="F282" s="6"/>
      <c r="G282" s="6"/>
      <c r="H282" s="6" t="str">
        <f t="shared" si="54"/>
        <v/>
      </c>
      <c r="I282" s="6" t="str">
        <f t="shared" ca="1" si="55"/>
        <v/>
      </c>
      <c r="J282" s="3" t="str">
        <f t="shared" si="56"/>
        <v/>
      </c>
      <c r="K282" s="6" t="str">
        <f>IF(A282="","",VLOOKUP(J282,[1]Initiated!$A:$Y,2,0))</f>
        <v/>
      </c>
      <c r="L282" s="2" t="str">
        <f>IF(A282="","",VLOOKUP(J282,[1]Initiated!$A:$Y,5,FALSE))</f>
        <v/>
      </c>
      <c r="M282" s="6" t="str">
        <f>IF(A282="","",VLOOKUP(J282,[1]Initiated!$A:$Y,6,FALSE))</f>
        <v/>
      </c>
      <c r="N282" s="6" t="str">
        <f>IF(A282="","",VLOOKUP(J282,[1]Initiated!$A:$Y,9,FALSE))</f>
        <v/>
      </c>
      <c r="O282" s="3" t="str">
        <f t="shared" si="57"/>
        <v/>
      </c>
      <c r="P282" s="6" t="str">
        <f>IF(OR(A282="", ISNUMBER(SEARCH("PFr", C282))), "", VLOOKUP(J282, [1]Initiated!$A:$Y, 7, FALSE))</f>
        <v/>
      </c>
      <c r="Q282" s="6" t="str">
        <f>IF(OR(A282="", ISNUMBER(SEARCH("PFr", C282))), "", VLOOKUP(J282, [1]Initiated!$A:$Y, 8, 0))</f>
        <v/>
      </c>
      <c r="R282" s="5" t="str">
        <f t="shared" si="58"/>
        <v/>
      </c>
      <c r="S282" s="4" t="str">
        <f>IF(A282="","",VLOOKUP(J282,[1]Initiated!$A:$Y,3,FALSE))</f>
        <v/>
      </c>
      <c r="T282" s="4" t="str">
        <f t="shared" ca="1" si="59"/>
        <v/>
      </c>
      <c r="U282" s="5" t="str">
        <f t="shared" si="60"/>
        <v/>
      </c>
      <c r="V282" s="5" t="str">
        <f t="shared" si="61"/>
        <v/>
      </c>
      <c r="W282" s="4" t="str">
        <f>IF(A282="","",VLOOKUP(J282,[1]Initiated!$A:$Y,10,0))</f>
        <v/>
      </c>
      <c r="X282" s="5" t="str">
        <f t="shared" si="62"/>
        <v/>
      </c>
    </row>
    <row r="283" spans="1:24" x14ac:dyDescent="0.25">
      <c r="A283" s="6"/>
      <c r="B283" s="6" t="str">
        <f t="shared" si="52"/>
        <v/>
      </c>
      <c r="C283" s="6" t="str">
        <f t="shared" si="53"/>
        <v/>
      </c>
      <c r="D283" s="6"/>
      <c r="E283" s="6"/>
      <c r="F283" s="6"/>
      <c r="G283" s="6"/>
      <c r="H283" s="6" t="str">
        <f t="shared" si="54"/>
        <v/>
      </c>
      <c r="I283" s="6" t="str">
        <f t="shared" ca="1" si="55"/>
        <v/>
      </c>
      <c r="J283" s="3" t="str">
        <f t="shared" si="56"/>
        <v/>
      </c>
      <c r="K283" s="6" t="str">
        <f>IF(A283="","",VLOOKUP(J283,[1]Initiated!$A:$Y,2,0))</f>
        <v/>
      </c>
      <c r="L283" s="2" t="str">
        <f>IF(A283="","",VLOOKUP(J283,[1]Initiated!$A:$Y,5,FALSE))</f>
        <v/>
      </c>
      <c r="M283" s="6" t="str">
        <f>IF(A283="","",VLOOKUP(J283,[1]Initiated!$A:$Y,6,FALSE))</f>
        <v/>
      </c>
      <c r="N283" s="6" t="str">
        <f>IF(A283="","",VLOOKUP(J283,[1]Initiated!$A:$Y,9,FALSE))</f>
        <v/>
      </c>
      <c r="O283" s="3" t="str">
        <f t="shared" si="57"/>
        <v/>
      </c>
      <c r="P283" s="6" t="str">
        <f>IF(OR(A283="", ISNUMBER(SEARCH("PFr", C283))), "", VLOOKUP(J283, [1]Initiated!$A:$Y, 7, FALSE))</f>
        <v/>
      </c>
      <c r="Q283" s="6" t="str">
        <f>IF(OR(A283="", ISNUMBER(SEARCH("PFr", C283))), "", VLOOKUP(J283, [1]Initiated!$A:$Y, 8, 0))</f>
        <v/>
      </c>
      <c r="R283" s="5" t="str">
        <f t="shared" si="58"/>
        <v/>
      </c>
      <c r="S283" s="4" t="str">
        <f>IF(A283="","",VLOOKUP(J283,[1]Initiated!$A:$Y,3,FALSE))</f>
        <v/>
      </c>
      <c r="T283" s="4" t="str">
        <f t="shared" ca="1" si="59"/>
        <v/>
      </c>
      <c r="U283" s="5" t="str">
        <f t="shared" si="60"/>
        <v/>
      </c>
      <c r="V283" s="5" t="str">
        <f t="shared" si="61"/>
        <v/>
      </c>
      <c r="W283" s="4" t="str">
        <f>IF(A283="","",VLOOKUP(J283,[1]Initiated!$A:$Y,10,0))</f>
        <v/>
      </c>
      <c r="X283" s="5" t="str">
        <f t="shared" si="62"/>
        <v/>
      </c>
    </row>
    <row r="284" spans="1:24" x14ac:dyDescent="0.25">
      <c r="A284" s="6"/>
      <c r="B284" s="6" t="str">
        <f t="shared" si="52"/>
        <v/>
      </c>
      <c r="C284" s="6" t="str">
        <f t="shared" si="53"/>
        <v/>
      </c>
      <c r="D284" s="6"/>
      <c r="E284" s="6"/>
      <c r="F284" s="6"/>
      <c r="G284" s="6"/>
      <c r="H284" s="6" t="str">
        <f t="shared" si="54"/>
        <v/>
      </c>
      <c r="I284" s="6" t="str">
        <f t="shared" ca="1" si="55"/>
        <v/>
      </c>
      <c r="J284" s="3" t="str">
        <f t="shared" si="56"/>
        <v/>
      </c>
      <c r="K284" s="6" t="str">
        <f>IF(A284="","",VLOOKUP(J284,[1]Initiated!$A:$Y,2,0))</f>
        <v/>
      </c>
      <c r="L284" s="2" t="str">
        <f>IF(A284="","",VLOOKUP(J284,[1]Initiated!$A:$Y,5,FALSE))</f>
        <v/>
      </c>
      <c r="M284" s="6" t="str">
        <f>IF(A284="","",VLOOKUP(J284,[1]Initiated!$A:$Y,6,FALSE))</f>
        <v/>
      </c>
      <c r="N284" s="6" t="str">
        <f>IF(A284="","",VLOOKUP(J284,[1]Initiated!$A:$Y,9,FALSE))</f>
        <v/>
      </c>
      <c r="O284" s="3" t="str">
        <f t="shared" si="57"/>
        <v/>
      </c>
      <c r="P284" s="6" t="str">
        <f>IF(OR(A284="", ISNUMBER(SEARCH("PFr", C284))), "", VLOOKUP(J284, [1]Initiated!$A:$Y, 7, FALSE))</f>
        <v/>
      </c>
      <c r="Q284" s="6" t="str">
        <f>IF(OR(A284="", ISNUMBER(SEARCH("PFr", C284))), "", VLOOKUP(J284, [1]Initiated!$A:$Y, 8, 0))</f>
        <v/>
      </c>
      <c r="R284" s="5" t="str">
        <f t="shared" si="58"/>
        <v/>
      </c>
      <c r="S284" s="4" t="str">
        <f>IF(A284="","",VLOOKUP(J284,[1]Initiated!$A:$Y,3,FALSE))</f>
        <v/>
      </c>
      <c r="T284" s="4" t="str">
        <f t="shared" ca="1" si="59"/>
        <v/>
      </c>
      <c r="U284" s="5" t="str">
        <f t="shared" si="60"/>
        <v/>
      </c>
      <c r="V284" s="5" t="str">
        <f t="shared" si="61"/>
        <v/>
      </c>
      <c r="W284" s="4" t="str">
        <f>IF(A284="","",VLOOKUP(J284,[1]Initiated!$A:$Y,10,0))</f>
        <v/>
      </c>
      <c r="X284" s="5" t="str">
        <f t="shared" si="62"/>
        <v/>
      </c>
    </row>
    <row r="285" spans="1:24" x14ac:dyDescent="0.25">
      <c r="A285" s="6"/>
      <c r="B285" s="6" t="str">
        <f t="shared" si="52"/>
        <v/>
      </c>
      <c r="C285" s="6" t="str">
        <f t="shared" si="53"/>
        <v/>
      </c>
      <c r="D285" s="6"/>
      <c r="E285" s="6"/>
      <c r="F285" s="6"/>
      <c r="G285" s="6"/>
      <c r="H285" s="6" t="str">
        <f t="shared" si="54"/>
        <v/>
      </c>
      <c r="I285" s="6" t="str">
        <f t="shared" ca="1" si="55"/>
        <v/>
      </c>
      <c r="J285" s="3" t="str">
        <f t="shared" si="56"/>
        <v/>
      </c>
      <c r="K285" s="6" t="str">
        <f>IF(A285="","",VLOOKUP(J285,[1]Initiated!$A:$Y,2,0))</f>
        <v/>
      </c>
      <c r="L285" s="2" t="str">
        <f>IF(A285="","",VLOOKUP(J285,[1]Initiated!$A:$Y,5,FALSE))</f>
        <v/>
      </c>
      <c r="M285" s="6" t="str">
        <f>IF(A285="","",VLOOKUP(J285,[1]Initiated!$A:$Y,6,FALSE))</f>
        <v/>
      </c>
      <c r="N285" s="6" t="str">
        <f>IF(A285="","",VLOOKUP(J285,[1]Initiated!$A:$Y,9,FALSE))</f>
        <v/>
      </c>
      <c r="O285" s="3" t="str">
        <f t="shared" si="57"/>
        <v/>
      </c>
      <c r="P285" s="6" t="str">
        <f>IF(OR(A285="", ISNUMBER(SEARCH("PFr", C285))), "", VLOOKUP(J285, [1]Initiated!$A:$Y, 7, FALSE))</f>
        <v/>
      </c>
      <c r="Q285" s="6" t="str">
        <f>IF(OR(A285="", ISNUMBER(SEARCH("PFr", C285))), "", VLOOKUP(J285, [1]Initiated!$A:$Y, 8, 0))</f>
        <v/>
      </c>
      <c r="R285" s="5" t="str">
        <f t="shared" si="58"/>
        <v/>
      </c>
      <c r="S285" s="4" t="str">
        <f>IF(A285="","",VLOOKUP(J285,[1]Initiated!$A:$Y,3,FALSE))</f>
        <v/>
      </c>
      <c r="T285" s="4" t="str">
        <f t="shared" ca="1" si="59"/>
        <v/>
      </c>
      <c r="U285" s="5" t="str">
        <f t="shared" si="60"/>
        <v/>
      </c>
      <c r="V285" s="5" t="str">
        <f t="shared" si="61"/>
        <v/>
      </c>
      <c r="W285" s="4" t="str">
        <f>IF(A285="","",VLOOKUP(J285,[1]Initiated!$A:$Y,10,0))</f>
        <v/>
      </c>
      <c r="X285" s="5" t="str">
        <f t="shared" si="62"/>
        <v/>
      </c>
    </row>
    <row r="286" spans="1:24" x14ac:dyDescent="0.25">
      <c r="A286" s="6"/>
      <c r="B286" s="6" t="str">
        <f t="shared" si="52"/>
        <v/>
      </c>
      <c r="C286" s="6" t="str">
        <f t="shared" si="53"/>
        <v/>
      </c>
      <c r="D286" s="6"/>
      <c r="E286" s="6"/>
      <c r="F286" s="6"/>
      <c r="G286" s="6"/>
      <c r="H286" s="6" t="str">
        <f t="shared" si="54"/>
        <v/>
      </c>
      <c r="I286" s="6" t="str">
        <f t="shared" ca="1" si="55"/>
        <v/>
      </c>
      <c r="J286" s="3" t="str">
        <f t="shared" si="56"/>
        <v/>
      </c>
      <c r="K286" s="6" t="str">
        <f>IF(A286="","",VLOOKUP(J286,[1]Initiated!$A:$Y,2,0))</f>
        <v/>
      </c>
      <c r="L286" s="2" t="str">
        <f>IF(A286="","",VLOOKUP(J286,[1]Initiated!$A:$Y,5,FALSE))</f>
        <v/>
      </c>
      <c r="M286" s="6" t="str">
        <f>IF(A286="","",VLOOKUP(J286,[1]Initiated!$A:$Y,6,FALSE))</f>
        <v/>
      </c>
      <c r="N286" s="6" t="str">
        <f>IF(A286="","",VLOOKUP(J286,[1]Initiated!$A:$Y,9,FALSE))</f>
        <v/>
      </c>
      <c r="O286" s="3" t="str">
        <f t="shared" si="57"/>
        <v/>
      </c>
      <c r="P286" s="6" t="str">
        <f>IF(OR(A286="", ISNUMBER(SEARCH("PFr", C286))), "", VLOOKUP(J286, [1]Initiated!$A:$Y, 7, FALSE))</f>
        <v/>
      </c>
      <c r="Q286" s="6" t="str">
        <f>IF(OR(A286="", ISNUMBER(SEARCH("PFr", C286))), "", VLOOKUP(J286, [1]Initiated!$A:$Y, 8, 0))</f>
        <v/>
      </c>
      <c r="R286" s="5" t="str">
        <f t="shared" si="58"/>
        <v/>
      </c>
      <c r="S286" s="4" t="str">
        <f>IF(A286="","",VLOOKUP(J286,[1]Initiated!$A:$Y,3,FALSE))</f>
        <v/>
      </c>
      <c r="T286" s="4" t="str">
        <f t="shared" ca="1" si="59"/>
        <v/>
      </c>
      <c r="U286" s="5" t="str">
        <f t="shared" si="60"/>
        <v/>
      </c>
      <c r="V286" s="5" t="str">
        <f t="shared" si="61"/>
        <v/>
      </c>
      <c r="W286" s="4" t="str">
        <f>IF(A286="","",VLOOKUP(J286,[1]Initiated!$A:$Y,10,0))</f>
        <v/>
      </c>
      <c r="X286" s="5" t="str">
        <f t="shared" si="62"/>
        <v/>
      </c>
    </row>
    <row r="287" spans="1:24" x14ac:dyDescent="0.25">
      <c r="A287" s="6"/>
      <c r="B287" s="6" t="str">
        <f t="shared" si="52"/>
        <v/>
      </c>
      <c r="C287" s="6" t="str">
        <f t="shared" si="53"/>
        <v/>
      </c>
      <c r="D287" s="6"/>
      <c r="E287" s="6"/>
      <c r="F287" s="6"/>
      <c r="G287" s="6"/>
      <c r="H287" s="6" t="str">
        <f t="shared" si="54"/>
        <v/>
      </c>
      <c r="I287" s="6" t="str">
        <f t="shared" ca="1" si="55"/>
        <v/>
      </c>
      <c r="J287" s="3" t="str">
        <f t="shared" si="56"/>
        <v/>
      </c>
      <c r="K287" s="6" t="str">
        <f>IF(A287="","",VLOOKUP(J287,[1]Initiated!$A:$Y,2,0))</f>
        <v/>
      </c>
      <c r="L287" s="2" t="str">
        <f>IF(A287="","",VLOOKUP(J287,[1]Initiated!$A:$Y,5,FALSE))</f>
        <v/>
      </c>
      <c r="M287" s="6" t="str">
        <f>IF(A287="","",VLOOKUP(J287,[1]Initiated!$A:$Y,6,FALSE))</f>
        <v/>
      </c>
      <c r="N287" s="6" t="str">
        <f>IF(A287="","",VLOOKUP(J287,[1]Initiated!$A:$Y,9,FALSE))</f>
        <v/>
      </c>
      <c r="O287" s="3" t="str">
        <f t="shared" si="57"/>
        <v/>
      </c>
      <c r="P287" s="6" t="str">
        <f>IF(OR(A287="", ISNUMBER(SEARCH("PFr", C287))), "", VLOOKUP(J287, [1]Initiated!$A:$Y, 7, FALSE))</f>
        <v/>
      </c>
      <c r="Q287" s="6" t="str">
        <f>IF(OR(A287="", ISNUMBER(SEARCH("PFr", C287))), "", VLOOKUP(J287, [1]Initiated!$A:$Y, 8, 0))</f>
        <v/>
      </c>
      <c r="R287" s="5" t="str">
        <f t="shared" si="58"/>
        <v/>
      </c>
      <c r="S287" s="4" t="str">
        <f>IF(A287="","",VLOOKUP(J287,[1]Initiated!$A:$Y,3,FALSE))</f>
        <v/>
      </c>
      <c r="T287" s="4" t="str">
        <f t="shared" ca="1" si="59"/>
        <v/>
      </c>
      <c r="U287" s="5" t="str">
        <f t="shared" si="60"/>
        <v/>
      </c>
      <c r="V287" s="5" t="str">
        <f t="shared" si="61"/>
        <v/>
      </c>
      <c r="W287" s="4" t="str">
        <f>IF(A287="","",VLOOKUP(J287,[1]Initiated!$A:$Y,10,0))</f>
        <v/>
      </c>
      <c r="X287" s="5" t="str">
        <f t="shared" si="62"/>
        <v/>
      </c>
    </row>
    <row r="288" spans="1:24" x14ac:dyDescent="0.25">
      <c r="A288" s="6"/>
      <c r="B288" s="6" t="str">
        <f t="shared" si="52"/>
        <v/>
      </c>
      <c r="C288" s="6" t="str">
        <f t="shared" si="53"/>
        <v/>
      </c>
      <c r="D288" s="6"/>
      <c r="E288" s="6"/>
      <c r="F288" s="6"/>
      <c r="G288" s="6"/>
      <c r="H288" s="6" t="str">
        <f t="shared" si="54"/>
        <v/>
      </c>
      <c r="I288" s="6" t="str">
        <f t="shared" ca="1" si="55"/>
        <v/>
      </c>
      <c r="J288" s="3" t="str">
        <f t="shared" si="56"/>
        <v/>
      </c>
      <c r="K288" s="6" t="str">
        <f>IF(A288="","",VLOOKUP(J288,[1]Initiated!$A:$Y,2,0))</f>
        <v/>
      </c>
      <c r="L288" s="2" t="str">
        <f>IF(A288="","",VLOOKUP(J288,[1]Initiated!$A:$Y,5,FALSE))</f>
        <v/>
      </c>
      <c r="M288" s="6" t="str">
        <f>IF(A288="","",VLOOKUP(J288,[1]Initiated!$A:$Y,6,FALSE))</f>
        <v/>
      </c>
      <c r="N288" s="6" t="str">
        <f>IF(A288="","",VLOOKUP(J288,[1]Initiated!$A:$Y,9,FALSE))</f>
        <v/>
      </c>
      <c r="O288" s="3" t="str">
        <f t="shared" si="57"/>
        <v/>
      </c>
      <c r="P288" s="6" t="str">
        <f>IF(OR(A288="", ISNUMBER(SEARCH("PFr", C288))), "", VLOOKUP(J288, [1]Initiated!$A:$Y, 7, FALSE))</f>
        <v/>
      </c>
      <c r="Q288" s="6" t="str">
        <f>IF(OR(A288="", ISNUMBER(SEARCH("PFr", C288))), "", VLOOKUP(J288, [1]Initiated!$A:$Y, 8, 0))</f>
        <v/>
      </c>
      <c r="R288" s="5" t="str">
        <f t="shared" si="58"/>
        <v/>
      </c>
      <c r="S288" s="4" t="str">
        <f>IF(A288="","",VLOOKUP(J288,[1]Initiated!$A:$Y,3,FALSE))</f>
        <v/>
      </c>
      <c r="T288" s="4" t="str">
        <f t="shared" ca="1" si="59"/>
        <v/>
      </c>
      <c r="U288" s="5" t="str">
        <f t="shared" si="60"/>
        <v/>
      </c>
      <c r="V288" s="5" t="str">
        <f t="shared" si="61"/>
        <v/>
      </c>
      <c r="W288" s="4" t="str">
        <f>IF(A288="","",VLOOKUP(J288,[1]Initiated!$A:$Y,10,0))</f>
        <v/>
      </c>
      <c r="X288" s="5" t="str">
        <f t="shared" si="62"/>
        <v/>
      </c>
    </row>
    <row r="289" spans="1:24" x14ac:dyDescent="0.25">
      <c r="A289" s="6"/>
      <c r="B289" s="6" t="str">
        <f t="shared" si="52"/>
        <v/>
      </c>
      <c r="C289" s="6" t="str">
        <f t="shared" si="53"/>
        <v/>
      </c>
      <c r="D289" s="6"/>
      <c r="E289" s="6"/>
      <c r="F289" s="6"/>
      <c r="G289" s="6"/>
      <c r="H289" s="6" t="str">
        <f t="shared" si="54"/>
        <v/>
      </c>
      <c r="I289" s="6" t="str">
        <f t="shared" ca="1" si="55"/>
        <v/>
      </c>
      <c r="J289" s="3" t="str">
        <f t="shared" si="56"/>
        <v/>
      </c>
      <c r="K289" s="6" t="str">
        <f>IF(A289="","",VLOOKUP(J289,[1]Initiated!$A:$Y,2,0))</f>
        <v/>
      </c>
      <c r="L289" s="2" t="str">
        <f>IF(A289="","",VLOOKUP(J289,[1]Initiated!$A:$Y,5,FALSE))</f>
        <v/>
      </c>
      <c r="M289" s="6" t="str">
        <f>IF(A289="","",VLOOKUP(J289,[1]Initiated!$A:$Y,6,FALSE))</f>
        <v/>
      </c>
      <c r="N289" s="6" t="str">
        <f>IF(A289="","",VLOOKUP(J289,[1]Initiated!$A:$Y,9,FALSE))</f>
        <v/>
      </c>
      <c r="O289" s="3" t="str">
        <f t="shared" si="57"/>
        <v/>
      </c>
      <c r="P289" s="6" t="str">
        <f>IF(OR(A289="", ISNUMBER(SEARCH("PFr", C289))), "", VLOOKUP(J289, [1]Initiated!$A:$Y, 7, FALSE))</f>
        <v/>
      </c>
      <c r="Q289" s="6" t="str">
        <f>IF(OR(A289="", ISNUMBER(SEARCH("PFr", C289))), "", VLOOKUP(J289, [1]Initiated!$A:$Y, 8, 0))</f>
        <v/>
      </c>
      <c r="R289" s="5" t="str">
        <f t="shared" si="58"/>
        <v/>
      </c>
      <c r="S289" s="4" t="str">
        <f>IF(A289="","",VLOOKUP(J289,[1]Initiated!$A:$Y,3,FALSE))</f>
        <v/>
      </c>
      <c r="T289" s="4" t="str">
        <f t="shared" ca="1" si="59"/>
        <v/>
      </c>
      <c r="U289" s="5" t="str">
        <f t="shared" si="60"/>
        <v/>
      </c>
      <c r="V289" s="5" t="str">
        <f t="shared" si="61"/>
        <v/>
      </c>
      <c r="W289" s="4" t="str">
        <f>IF(A289="","",VLOOKUP(J289,[1]Initiated!$A:$Y,10,0))</f>
        <v/>
      </c>
      <c r="X289" s="5" t="str">
        <f t="shared" si="62"/>
        <v/>
      </c>
    </row>
    <row r="290" spans="1:24" x14ac:dyDescent="0.25">
      <c r="A290" s="6"/>
      <c r="B290" s="6" t="str">
        <f t="shared" si="52"/>
        <v/>
      </c>
      <c r="C290" s="6" t="str">
        <f t="shared" si="53"/>
        <v/>
      </c>
      <c r="D290" s="6"/>
      <c r="E290" s="6"/>
      <c r="F290" s="6"/>
      <c r="G290" s="6"/>
      <c r="H290" s="6" t="str">
        <f t="shared" si="54"/>
        <v/>
      </c>
      <c r="I290" s="6" t="str">
        <f t="shared" ca="1" si="55"/>
        <v/>
      </c>
      <c r="J290" s="3" t="str">
        <f t="shared" si="56"/>
        <v/>
      </c>
      <c r="K290" s="6" t="str">
        <f>IF(A290="","",VLOOKUP(J290,[1]Initiated!$A:$Y,2,0))</f>
        <v/>
      </c>
      <c r="L290" s="2" t="str">
        <f>IF(A290="","",VLOOKUP(J290,[1]Initiated!$A:$Y,5,FALSE))</f>
        <v/>
      </c>
      <c r="M290" s="6" t="str">
        <f>IF(A290="","",VLOOKUP(J290,[1]Initiated!$A:$Y,6,FALSE))</f>
        <v/>
      </c>
      <c r="N290" s="6" t="str">
        <f>IF(A290="","",VLOOKUP(J290,[1]Initiated!$A:$Y,9,FALSE))</f>
        <v/>
      </c>
      <c r="O290" s="3" t="str">
        <f t="shared" si="57"/>
        <v/>
      </c>
      <c r="P290" s="6" t="str">
        <f>IF(OR(A290="", ISNUMBER(SEARCH("PFr", C290))), "", VLOOKUP(J290, [1]Initiated!$A:$Y, 7, FALSE))</f>
        <v/>
      </c>
      <c r="Q290" s="6" t="str">
        <f>IF(OR(A290="", ISNUMBER(SEARCH("PFr", C290))), "", VLOOKUP(J290, [1]Initiated!$A:$Y, 8, 0))</f>
        <v/>
      </c>
      <c r="R290" s="5" t="str">
        <f t="shared" si="58"/>
        <v/>
      </c>
      <c r="S290" s="4" t="str">
        <f>IF(A290="","",VLOOKUP(J290,[1]Initiated!$A:$Y,3,FALSE))</f>
        <v/>
      </c>
      <c r="T290" s="4" t="str">
        <f t="shared" ca="1" si="59"/>
        <v/>
      </c>
      <c r="U290" s="5" t="str">
        <f t="shared" si="60"/>
        <v/>
      </c>
      <c r="V290" s="5" t="str">
        <f t="shared" si="61"/>
        <v/>
      </c>
      <c r="W290" s="4" t="str">
        <f>IF(A290="","",VLOOKUP(J290,[1]Initiated!$A:$Y,10,0))</f>
        <v/>
      </c>
      <c r="X290" s="5" t="str">
        <f t="shared" si="62"/>
        <v/>
      </c>
    </row>
    <row r="291" spans="1:24" x14ac:dyDescent="0.25">
      <c r="A291" s="6"/>
      <c r="B291" s="6" t="str">
        <f t="shared" si="52"/>
        <v/>
      </c>
      <c r="C291" s="6" t="str">
        <f t="shared" si="53"/>
        <v/>
      </c>
      <c r="D291" s="6"/>
      <c r="E291" s="6"/>
      <c r="F291" s="6"/>
      <c r="G291" s="6"/>
      <c r="H291" s="6" t="str">
        <f t="shared" si="54"/>
        <v/>
      </c>
      <c r="I291" s="6" t="str">
        <f t="shared" ca="1" si="55"/>
        <v/>
      </c>
      <c r="J291" s="3" t="str">
        <f t="shared" si="56"/>
        <v/>
      </c>
      <c r="K291" s="6" t="str">
        <f>IF(A291="","",VLOOKUP(J291,[1]Initiated!$A:$Y,2,0))</f>
        <v/>
      </c>
      <c r="L291" s="2" t="str">
        <f>IF(A291="","",VLOOKUP(J291,[1]Initiated!$A:$Y,5,FALSE))</f>
        <v/>
      </c>
      <c r="M291" s="6" t="str">
        <f>IF(A291="","",VLOOKUP(J291,[1]Initiated!$A:$Y,6,FALSE))</f>
        <v/>
      </c>
      <c r="N291" s="6" t="str">
        <f>IF(A291="","",VLOOKUP(J291,[1]Initiated!$A:$Y,9,FALSE))</f>
        <v/>
      </c>
      <c r="O291" s="3" t="str">
        <f t="shared" si="57"/>
        <v/>
      </c>
      <c r="P291" s="6" t="str">
        <f>IF(OR(A291="", ISNUMBER(SEARCH("PFr", C291))), "", VLOOKUP(J291, [1]Initiated!$A:$Y, 7, FALSE))</f>
        <v/>
      </c>
      <c r="Q291" s="6" t="str">
        <f>IF(OR(A291="", ISNUMBER(SEARCH("PFr", C291))), "", VLOOKUP(J291, [1]Initiated!$A:$Y, 8, 0))</f>
        <v/>
      </c>
      <c r="R291" s="5" t="str">
        <f t="shared" si="58"/>
        <v/>
      </c>
      <c r="S291" s="4" t="str">
        <f>IF(A291="","",VLOOKUP(J291,[1]Initiated!$A:$Y,3,FALSE))</f>
        <v/>
      </c>
      <c r="T291" s="4" t="str">
        <f t="shared" ca="1" si="59"/>
        <v/>
      </c>
      <c r="U291" s="5" t="str">
        <f t="shared" si="60"/>
        <v/>
      </c>
      <c r="V291" s="5" t="str">
        <f t="shared" si="61"/>
        <v/>
      </c>
      <c r="W291" s="4" t="str">
        <f>IF(A291="","",VLOOKUP(J291,[1]Initiated!$A:$Y,10,0))</f>
        <v/>
      </c>
      <c r="X291" s="5" t="str">
        <f t="shared" si="62"/>
        <v/>
      </c>
    </row>
    <row r="292" spans="1:24" x14ac:dyDescent="0.25">
      <c r="A292" s="6"/>
      <c r="B292" s="6" t="str">
        <f t="shared" si="52"/>
        <v/>
      </c>
      <c r="C292" s="6" t="str">
        <f t="shared" si="53"/>
        <v/>
      </c>
      <c r="D292" s="6"/>
      <c r="E292" s="6"/>
      <c r="F292" s="6"/>
      <c r="G292" s="6"/>
      <c r="H292" s="6" t="str">
        <f t="shared" si="54"/>
        <v/>
      </c>
      <c r="I292" s="6" t="str">
        <f t="shared" ca="1" si="55"/>
        <v/>
      </c>
      <c r="J292" s="3" t="str">
        <f t="shared" si="56"/>
        <v/>
      </c>
      <c r="K292" s="6" t="str">
        <f>IF(A292="","",VLOOKUP(J292,[1]Initiated!$A:$Y,2,0))</f>
        <v/>
      </c>
      <c r="L292" s="2" t="str">
        <f>IF(A292="","",VLOOKUP(J292,[1]Initiated!$A:$Y,5,FALSE))</f>
        <v/>
      </c>
      <c r="M292" s="6" t="str">
        <f>IF(A292="","",VLOOKUP(J292,[1]Initiated!$A:$Y,6,FALSE))</f>
        <v/>
      </c>
      <c r="N292" s="6" t="str">
        <f>IF(A292="","",VLOOKUP(J292,[1]Initiated!$A:$Y,9,FALSE))</f>
        <v/>
      </c>
      <c r="O292" s="3" t="str">
        <f t="shared" si="57"/>
        <v/>
      </c>
      <c r="P292" s="6" t="str">
        <f>IF(OR(A292="", ISNUMBER(SEARCH("PFr", C292))), "", VLOOKUP(J292, [1]Initiated!$A:$Y, 7, FALSE))</f>
        <v/>
      </c>
      <c r="Q292" s="6" t="str">
        <f>IF(OR(A292="", ISNUMBER(SEARCH("PFr", C292))), "", VLOOKUP(J292, [1]Initiated!$A:$Y, 8, 0))</f>
        <v/>
      </c>
      <c r="R292" s="5" t="str">
        <f t="shared" si="58"/>
        <v/>
      </c>
      <c r="S292" s="4" t="str">
        <f>IF(A292="","",VLOOKUP(J292,[1]Initiated!$A:$Y,3,FALSE))</f>
        <v/>
      </c>
      <c r="T292" s="4" t="str">
        <f t="shared" ca="1" si="59"/>
        <v/>
      </c>
      <c r="U292" s="5" t="str">
        <f t="shared" si="60"/>
        <v/>
      </c>
      <c r="V292" s="5" t="str">
        <f t="shared" si="61"/>
        <v/>
      </c>
      <c r="W292" s="4" t="str">
        <f>IF(A292="","",VLOOKUP(J292,[1]Initiated!$A:$Y,10,0))</f>
        <v/>
      </c>
      <c r="X292" s="5" t="str">
        <f t="shared" si="62"/>
        <v/>
      </c>
    </row>
    <row r="293" spans="1:24" x14ac:dyDescent="0.25">
      <c r="A293" s="6"/>
      <c r="B293" s="6" t="str">
        <f t="shared" si="52"/>
        <v/>
      </c>
      <c r="C293" s="6" t="str">
        <f t="shared" si="53"/>
        <v/>
      </c>
      <c r="D293" s="6"/>
      <c r="E293" s="6"/>
      <c r="F293" s="6"/>
      <c r="G293" s="6"/>
      <c r="H293" s="6" t="str">
        <f t="shared" si="54"/>
        <v/>
      </c>
      <c r="I293" s="6" t="str">
        <f t="shared" ca="1" si="55"/>
        <v/>
      </c>
      <c r="J293" s="3" t="str">
        <f t="shared" si="56"/>
        <v/>
      </c>
      <c r="K293" s="6" t="str">
        <f>IF(A293="","",VLOOKUP(J293,[1]Initiated!$A:$Y,2,0))</f>
        <v/>
      </c>
      <c r="L293" s="2" t="str">
        <f>IF(A293="","",VLOOKUP(J293,[1]Initiated!$A:$Y,5,FALSE))</f>
        <v/>
      </c>
      <c r="M293" s="6" t="str">
        <f>IF(A293="","",VLOOKUP(J293,[1]Initiated!$A:$Y,6,FALSE))</f>
        <v/>
      </c>
      <c r="N293" s="6" t="str">
        <f>IF(A293="","",VLOOKUP(J293,[1]Initiated!$A:$Y,9,FALSE))</f>
        <v/>
      </c>
      <c r="O293" s="3" t="str">
        <f t="shared" si="57"/>
        <v/>
      </c>
      <c r="P293" s="6" t="str">
        <f>IF(OR(A293="", ISNUMBER(SEARCH("PFr", C293))), "", VLOOKUP(J293, [1]Initiated!$A:$Y, 7, FALSE))</f>
        <v/>
      </c>
      <c r="Q293" s="6" t="str">
        <f>IF(OR(A293="", ISNUMBER(SEARCH("PFr", C293))), "", VLOOKUP(J293, [1]Initiated!$A:$Y, 8, 0))</f>
        <v/>
      </c>
      <c r="R293" s="5" t="str">
        <f t="shared" si="58"/>
        <v/>
      </c>
      <c r="S293" s="4" t="str">
        <f>IF(A293="","",VLOOKUP(J293,[1]Initiated!$A:$Y,3,FALSE))</f>
        <v/>
      </c>
      <c r="T293" s="4" t="str">
        <f t="shared" ca="1" si="59"/>
        <v/>
      </c>
      <c r="U293" s="5" t="str">
        <f t="shared" si="60"/>
        <v/>
      </c>
      <c r="V293" s="5" t="str">
        <f t="shared" si="61"/>
        <v/>
      </c>
      <c r="W293" s="4" t="str">
        <f>IF(A293="","",VLOOKUP(J293,[1]Initiated!$A:$Y,10,0))</f>
        <v/>
      </c>
      <c r="X293" s="5" t="str">
        <f t="shared" si="62"/>
        <v/>
      </c>
    </row>
    <row r="294" spans="1:24" x14ac:dyDescent="0.25">
      <c r="A294" s="6"/>
      <c r="B294" s="6" t="str">
        <f t="shared" si="52"/>
        <v/>
      </c>
      <c r="C294" s="6" t="str">
        <f t="shared" si="53"/>
        <v/>
      </c>
      <c r="D294" s="6"/>
      <c r="E294" s="6"/>
      <c r="F294" s="6"/>
      <c r="G294" s="6"/>
      <c r="H294" s="6" t="str">
        <f t="shared" si="54"/>
        <v/>
      </c>
      <c r="I294" s="6" t="str">
        <f t="shared" ca="1" si="55"/>
        <v/>
      </c>
      <c r="J294" s="3" t="str">
        <f t="shared" si="56"/>
        <v/>
      </c>
      <c r="K294" s="6" t="str">
        <f>IF(A294="","",VLOOKUP(J294,[1]Initiated!$A:$Y,2,0))</f>
        <v/>
      </c>
      <c r="L294" s="2" t="str">
        <f>IF(A294="","",VLOOKUP(J294,[1]Initiated!$A:$Y,5,FALSE))</f>
        <v/>
      </c>
      <c r="M294" s="6" t="str">
        <f>IF(A294="","",VLOOKUP(J294,[1]Initiated!$A:$Y,6,FALSE))</f>
        <v/>
      </c>
      <c r="N294" s="6" t="str">
        <f>IF(A294="","",VLOOKUP(J294,[1]Initiated!$A:$Y,9,FALSE))</f>
        <v/>
      </c>
      <c r="O294" s="3" t="str">
        <f t="shared" si="57"/>
        <v/>
      </c>
      <c r="P294" s="6" t="str">
        <f>IF(OR(A294="", ISNUMBER(SEARCH("PFr", C294))), "", VLOOKUP(J294, [1]Initiated!$A:$Y, 7, FALSE))</f>
        <v/>
      </c>
      <c r="Q294" s="6" t="str">
        <f>IF(OR(A294="", ISNUMBER(SEARCH("PFr", C294))), "", VLOOKUP(J294, [1]Initiated!$A:$Y, 8, 0))</f>
        <v/>
      </c>
      <c r="R294" s="5" t="str">
        <f t="shared" si="58"/>
        <v/>
      </c>
      <c r="S294" s="4" t="str">
        <f>IF(A294="","",VLOOKUP(J294,[1]Initiated!$A:$Y,3,FALSE))</f>
        <v/>
      </c>
      <c r="T294" s="4" t="str">
        <f t="shared" ca="1" si="59"/>
        <v/>
      </c>
      <c r="U294" s="5" t="str">
        <f t="shared" si="60"/>
        <v/>
      </c>
      <c r="V294" s="5" t="str">
        <f t="shared" si="61"/>
        <v/>
      </c>
      <c r="W294" s="4" t="str">
        <f>IF(A294="","",VLOOKUP(J294,[1]Initiated!$A:$Y,10,0))</f>
        <v/>
      </c>
      <c r="X294" s="5" t="str">
        <f t="shared" si="62"/>
        <v/>
      </c>
    </row>
    <row r="295" spans="1:24" x14ac:dyDescent="0.25">
      <c r="A295" s="6"/>
      <c r="B295" s="6" t="str">
        <f t="shared" si="52"/>
        <v/>
      </c>
      <c r="C295" s="6" t="str">
        <f t="shared" si="53"/>
        <v/>
      </c>
      <c r="D295" s="6"/>
      <c r="E295" s="6"/>
      <c r="F295" s="6"/>
      <c r="G295" s="6"/>
      <c r="H295" s="6" t="str">
        <f t="shared" si="54"/>
        <v/>
      </c>
      <c r="I295" s="6" t="str">
        <f t="shared" ca="1" si="55"/>
        <v/>
      </c>
      <c r="J295" s="3" t="str">
        <f t="shared" si="56"/>
        <v/>
      </c>
      <c r="K295" s="6" t="str">
        <f>IF(A295="","",VLOOKUP(J295,[1]Initiated!$A:$Y,2,0))</f>
        <v/>
      </c>
      <c r="L295" s="2" t="str">
        <f>IF(A295="","",VLOOKUP(J295,[1]Initiated!$A:$Y,5,FALSE))</f>
        <v/>
      </c>
      <c r="M295" s="6" t="str">
        <f>IF(A295="","",VLOOKUP(J295,[1]Initiated!$A:$Y,6,FALSE))</f>
        <v/>
      </c>
      <c r="N295" s="6" t="str">
        <f>IF(A295="","",VLOOKUP(J295,[1]Initiated!$A:$Y,9,FALSE))</f>
        <v/>
      </c>
      <c r="O295" s="3" t="str">
        <f t="shared" si="57"/>
        <v/>
      </c>
      <c r="P295" s="6" t="str">
        <f>IF(OR(A295="", ISNUMBER(SEARCH("PFr", C295))), "", VLOOKUP(J295, [1]Initiated!$A:$Y, 7, FALSE))</f>
        <v/>
      </c>
      <c r="Q295" s="6" t="str">
        <f>IF(OR(A295="", ISNUMBER(SEARCH("PFr", C295))), "", VLOOKUP(J295, [1]Initiated!$A:$Y, 8, 0))</f>
        <v/>
      </c>
      <c r="R295" s="5" t="str">
        <f t="shared" si="58"/>
        <v/>
      </c>
      <c r="S295" s="4" t="str">
        <f>IF(A295="","",VLOOKUP(J295,[1]Initiated!$A:$Y,3,FALSE))</f>
        <v/>
      </c>
      <c r="T295" s="4" t="str">
        <f t="shared" ca="1" si="59"/>
        <v/>
      </c>
      <c r="U295" s="5" t="str">
        <f t="shared" si="60"/>
        <v/>
      </c>
      <c r="V295" s="5" t="str">
        <f t="shared" si="61"/>
        <v/>
      </c>
      <c r="W295" s="4" t="str">
        <f>IF(A295="","",VLOOKUP(J295,[1]Initiated!$A:$Y,10,0))</f>
        <v/>
      </c>
      <c r="X295" s="5" t="str">
        <f t="shared" si="62"/>
        <v/>
      </c>
    </row>
    <row r="296" spans="1:24" x14ac:dyDescent="0.25">
      <c r="A296" s="6"/>
      <c r="B296" s="6" t="str">
        <f t="shared" si="52"/>
        <v/>
      </c>
      <c r="C296" s="6" t="str">
        <f t="shared" si="53"/>
        <v/>
      </c>
      <c r="D296" s="6"/>
      <c r="E296" s="6"/>
      <c r="F296" s="6"/>
      <c r="G296" s="6"/>
      <c r="H296" s="6" t="str">
        <f t="shared" si="54"/>
        <v/>
      </c>
      <c r="I296" s="6" t="str">
        <f t="shared" ca="1" si="55"/>
        <v/>
      </c>
      <c r="J296" s="3" t="str">
        <f t="shared" si="56"/>
        <v/>
      </c>
      <c r="K296" s="6" t="str">
        <f>IF(A296="","",VLOOKUP(J296,[1]Initiated!$A:$Y,2,0))</f>
        <v/>
      </c>
      <c r="L296" s="2" t="str">
        <f>IF(A296="","",VLOOKUP(J296,[1]Initiated!$A:$Y,5,FALSE))</f>
        <v/>
      </c>
      <c r="M296" s="6" t="str">
        <f>IF(A296="","",VLOOKUP(J296,[1]Initiated!$A:$Y,6,FALSE))</f>
        <v/>
      </c>
      <c r="N296" s="6" t="str">
        <f>IF(A296="","",VLOOKUP(J296,[1]Initiated!$A:$Y,9,FALSE))</f>
        <v/>
      </c>
      <c r="O296" s="3" t="str">
        <f t="shared" si="57"/>
        <v/>
      </c>
      <c r="P296" s="6" t="str">
        <f>IF(OR(A296="", ISNUMBER(SEARCH("PFr", C296))), "", VLOOKUP(J296, [1]Initiated!$A:$Y, 7, FALSE))</f>
        <v/>
      </c>
      <c r="Q296" s="6" t="str">
        <f>IF(OR(A296="", ISNUMBER(SEARCH("PFr", C296))), "", VLOOKUP(J296, [1]Initiated!$A:$Y, 8, 0))</f>
        <v/>
      </c>
      <c r="R296" s="5" t="str">
        <f t="shared" si="58"/>
        <v/>
      </c>
      <c r="S296" s="4" t="str">
        <f>IF(A296="","",VLOOKUP(J296,[1]Initiated!$A:$Y,3,FALSE))</f>
        <v/>
      </c>
      <c r="T296" s="4" t="str">
        <f t="shared" ca="1" si="59"/>
        <v/>
      </c>
      <c r="U296" s="5" t="str">
        <f t="shared" si="60"/>
        <v/>
      </c>
      <c r="V296" s="5" t="str">
        <f t="shared" si="61"/>
        <v/>
      </c>
      <c r="W296" s="4" t="str">
        <f>IF(A296="","",VLOOKUP(J296,[1]Initiated!$A:$Y,10,0))</f>
        <v/>
      </c>
      <c r="X296" s="5" t="str">
        <f t="shared" si="62"/>
        <v/>
      </c>
    </row>
    <row r="297" spans="1:24" x14ac:dyDescent="0.25">
      <c r="A297" s="6"/>
      <c r="B297" s="6" t="str">
        <f t="shared" si="52"/>
        <v/>
      </c>
      <c r="C297" s="6" t="str">
        <f t="shared" si="53"/>
        <v/>
      </c>
      <c r="D297" s="6"/>
      <c r="E297" s="6"/>
      <c r="F297" s="6"/>
      <c r="G297" s="6"/>
      <c r="H297" s="6" t="str">
        <f t="shared" si="54"/>
        <v/>
      </c>
      <c r="I297" s="6" t="str">
        <f t="shared" ca="1" si="55"/>
        <v/>
      </c>
      <c r="J297" s="3" t="str">
        <f t="shared" si="56"/>
        <v/>
      </c>
      <c r="K297" s="6" t="str">
        <f>IF(A297="","",VLOOKUP(J297,[1]Initiated!$A:$Y,2,0))</f>
        <v/>
      </c>
      <c r="L297" s="2" t="str">
        <f>IF(A297="","",VLOOKUP(J297,[1]Initiated!$A:$Y,5,FALSE))</f>
        <v/>
      </c>
      <c r="M297" s="6" t="str">
        <f>IF(A297="","",VLOOKUP(J297,[1]Initiated!$A:$Y,6,FALSE))</f>
        <v/>
      </c>
      <c r="N297" s="6" t="str">
        <f>IF(A297="","",VLOOKUP(J297,[1]Initiated!$A:$Y,9,FALSE))</f>
        <v/>
      </c>
      <c r="O297" s="3" t="str">
        <f t="shared" si="57"/>
        <v/>
      </c>
      <c r="P297" s="6" t="str">
        <f>IF(OR(A297="", ISNUMBER(SEARCH("PFr", C297))), "", VLOOKUP(J297, [1]Initiated!$A:$Y, 7, FALSE))</f>
        <v/>
      </c>
      <c r="Q297" s="6" t="str">
        <f>IF(OR(A297="", ISNUMBER(SEARCH("PFr", C297))), "", VLOOKUP(J297, [1]Initiated!$A:$Y, 8, 0))</f>
        <v/>
      </c>
      <c r="R297" s="5" t="str">
        <f t="shared" si="58"/>
        <v/>
      </c>
      <c r="S297" s="4" t="str">
        <f>IF(A297="","",VLOOKUP(J297,[1]Initiated!$A:$Y,3,FALSE))</f>
        <v/>
      </c>
      <c r="T297" s="4" t="str">
        <f t="shared" ca="1" si="59"/>
        <v/>
      </c>
      <c r="U297" s="5" t="str">
        <f t="shared" si="60"/>
        <v/>
      </c>
      <c r="V297" s="5" t="str">
        <f t="shared" si="61"/>
        <v/>
      </c>
      <c r="W297" s="4" t="str">
        <f>IF(A297="","",VLOOKUP(J297,[1]Initiated!$A:$Y,10,0))</f>
        <v/>
      </c>
      <c r="X297" s="5" t="str">
        <f t="shared" si="62"/>
        <v/>
      </c>
    </row>
    <row r="298" spans="1:24" x14ac:dyDescent="0.25">
      <c r="A298" s="6"/>
      <c r="B298" s="6" t="str">
        <f t="shared" si="52"/>
        <v/>
      </c>
      <c r="C298" s="6" t="str">
        <f t="shared" si="53"/>
        <v/>
      </c>
      <c r="D298" s="6"/>
      <c r="E298" s="6"/>
      <c r="F298" s="6"/>
      <c r="G298" s="6"/>
      <c r="H298" s="6" t="str">
        <f t="shared" si="54"/>
        <v/>
      </c>
      <c r="I298" s="6" t="str">
        <f t="shared" ca="1" si="55"/>
        <v/>
      </c>
      <c r="J298" s="3" t="str">
        <f t="shared" si="56"/>
        <v/>
      </c>
      <c r="K298" s="6" t="str">
        <f>IF(A298="","",VLOOKUP(J298,[1]Initiated!$A:$Y,2,0))</f>
        <v/>
      </c>
      <c r="L298" s="2" t="str">
        <f>IF(A298="","",VLOOKUP(J298,[1]Initiated!$A:$Y,5,FALSE))</f>
        <v/>
      </c>
      <c r="M298" s="6" t="str">
        <f>IF(A298="","",VLOOKUP(J298,[1]Initiated!$A:$Y,6,FALSE))</f>
        <v/>
      </c>
      <c r="N298" s="6" t="str">
        <f>IF(A298="","",VLOOKUP(J298,[1]Initiated!$A:$Y,9,FALSE))</f>
        <v/>
      </c>
      <c r="O298" s="3" t="str">
        <f t="shared" si="57"/>
        <v/>
      </c>
      <c r="P298" s="6" t="str">
        <f>IF(OR(A298="", ISNUMBER(SEARCH("PFr", C298))), "", VLOOKUP(J298, [1]Initiated!$A:$Y, 7, FALSE))</f>
        <v/>
      </c>
      <c r="Q298" s="6" t="str">
        <f>IF(OR(A298="", ISNUMBER(SEARCH("PFr", C298))), "", VLOOKUP(J298, [1]Initiated!$A:$Y, 8, 0))</f>
        <v/>
      </c>
      <c r="R298" s="5" t="str">
        <f t="shared" si="58"/>
        <v/>
      </c>
      <c r="S298" s="4" t="str">
        <f>IF(A298="","",VLOOKUP(J298,[1]Initiated!$A:$Y,3,FALSE))</f>
        <v/>
      </c>
      <c r="T298" s="4" t="str">
        <f t="shared" ca="1" si="59"/>
        <v/>
      </c>
      <c r="U298" s="5" t="str">
        <f t="shared" si="60"/>
        <v/>
      </c>
      <c r="V298" s="5" t="str">
        <f t="shared" si="61"/>
        <v/>
      </c>
      <c r="W298" s="4" t="str">
        <f>IF(A298="","",VLOOKUP(J298,[1]Initiated!$A:$Y,10,0))</f>
        <v/>
      </c>
      <c r="X298" s="5" t="str">
        <f t="shared" si="62"/>
        <v/>
      </c>
    </row>
    <row r="299" spans="1:24" x14ac:dyDescent="0.25">
      <c r="A299" s="6"/>
      <c r="B299" s="6" t="str">
        <f t="shared" si="52"/>
        <v/>
      </c>
      <c r="C299" s="6" t="str">
        <f t="shared" si="53"/>
        <v/>
      </c>
      <c r="D299" s="6"/>
      <c r="E299" s="6"/>
      <c r="F299" s="6"/>
      <c r="G299" s="6"/>
      <c r="H299" s="6" t="str">
        <f t="shared" si="54"/>
        <v/>
      </c>
      <c r="I299" s="6" t="str">
        <f t="shared" ca="1" si="55"/>
        <v/>
      </c>
      <c r="J299" s="3" t="str">
        <f t="shared" si="56"/>
        <v/>
      </c>
      <c r="K299" s="6" t="str">
        <f>IF(A299="","",VLOOKUP(J299,[1]Initiated!$A:$Y,2,0))</f>
        <v/>
      </c>
      <c r="L299" s="2" t="str">
        <f>IF(A299="","",VLOOKUP(J299,[1]Initiated!$A:$Y,5,FALSE))</f>
        <v/>
      </c>
      <c r="M299" s="6" t="str">
        <f>IF(A299="","",VLOOKUP(J299,[1]Initiated!$A:$Y,6,FALSE))</f>
        <v/>
      </c>
      <c r="N299" s="6" t="str">
        <f>IF(A299="","",VLOOKUP(J299,[1]Initiated!$A:$Y,9,FALSE))</f>
        <v/>
      </c>
      <c r="O299" s="3" t="str">
        <f t="shared" si="57"/>
        <v/>
      </c>
      <c r="P299" s="6" t="str">
        <f>IF(OR(A299="", ISNUMBER(SEARCH("PFr", C299))), "", VLOOKUP(J299, [1]Initiated!$A:$Y, 7, FALSE))</f>
        <v/>
      </c>
      <c r="Q299" s="6" t="str">
        <f>IF(OR(A299="", ISNUMBER(SEARCH("PFr", C299))), "", VLOOKUP(J299, [1]Initiated!$A:$Y, 8, 0))</f>
        <v/>
      </c>
      <c r="R299" s="5" t="str">
        <f t="shared" si="58"/>
        <v/>
      </c>
      <c r="S299" s="4" t="str">
        <f>IF(A299="","",VLOOKUP(J299,[1]Initiated!$A:$Y,3,FALSE))</f>
        <v/>
      </c>
      <c r="T299" s="4" t="str">
        <f t="shared" ca="1" si="59"/>
        <v/>
      </c>
      <c r="U299" s="5" t="str">
        <f t="shared" si="60"/>
        <v/>
      </c>
      <c r="V299" s="5" t="str">
        <f t="shared" si="61"/>
        <v/>
      </c>
      <c r="W299" s="4" t="str">
        <f>IF(A299="","",VLOOKUP(J299,[1]Initiated!$A:$Y,10,0))</f>
        <v/>
      </c>
      <c r="X299" s="5" t="str">
        <f t="shared" si="62"/>
        <v/>
      </c>
    </row>
    <row r="300" spans="1:24" x14ac:dyDescent="0.25">
      <c r="A300" s="6"/>
      <c r="B300" s="6" t="str">
        <f t="shared" si="52"/>
        <v/>
      </c>
      <c r="C300" s="6" t="str">
        <f t="shared" si="53"/>
        <v/>
      </c>
      <c r="D300" s="6"/>
      <c r="E300" s="6"/>
      <c r="F300" s="6"/>
      <c r="G300" s="6"/>
      <c r="H300" s="6" t="str">
        <f t="shared" si="54"/>
        <v/>
      </c>
      <c r="I300" s="6" t="str">
        <f t="shared" ca="1" si="55"/>
        <v/>
      </c>
      <c r="J300" s="3" t="str">
        <f t="shared" si="56"/>
        <v/>
      </c>
      <c r="K300" s="6" t="str">
        <f>IF(A300="","",VLOOKUP(J300,[1]Initiated!$A:$Y,2,0))</f>
        <v/>
      </c>
      <c r="L300" s="2" t="str">
        <f>IF(A300="","",VLOOKUP(J300,[1]Initiated!$A:$Y,5,FALSE))</f>
        <v/>
      </c>
      <c r="M300" s="6" t="str">
        <f>IF(A300="","",VLOOKUP(J300,[1]Initiated!$A:$Y,6,FALSE))</f>
        <v/>
      </c>
      <c r="N300" s="6" t="str">
        <f>IF(A300="","",VLOOKUP(J300,[1]Initiated!$A:$Y,9,FALSE))</f>
        <v/>
      </c>
      <c r="O300" s="3" t="str">
        <f t="shared" si="57"/>
        <v/>
      </c>
      <c r="P300" s="6" t="str">
        <f>IF(OR(A300="", ISNUMBER(SEARCH("PFr", C300))), "", VLOOKUP(J300, [1]Initiated!$A:$Y, 7, FALSE))</f>
        <v/>
      </c>
      <c r="Q300" s="6" t="str">
        <f>IF(OR(A300="", ISNUMBER(SEARCH("PFr", C300))), "", VLOOKUP(J300, [1]Initiated!$A:$Y, 8, 0))</f>
        <v/>
      </c>
      <c r="R300" s="5" t="str">
        <f t="shared" si="58"/>
        <v/>
      </c>
      <c r="S300" s="4" t="str">
        <f>IF(A300="","",VLOOKUP(J300,[1]Initiated!$A:$Y,3,FALSE))</f>
        <v/>
      </c>
      <c r="T300" s="4" t="str">
        <f t="shared" ca="1" si="59"/>
        <v/>
      </c>
      <c r="U300" s="5" t="str">
        <f t="shared" si="60"/>
        <v/>
      </c>
      <c r="V300" s="5" t="str">
        <f t="shared" si="61"/>
        <v/>
      </c>
      <c r="W300" s="4" t="str">
        <f>IF(A300="","",VLOOKUP(J300,[1]Initiated!$A:$Y,10,0))</f>
        <v/>
      </c>
      <c r="X300" s="5" t="str">
        <f t="shared" si="62"/>
        <v/>
      </c>
    </row>
    <row r="301" spans="1:24" x14ac:dyDescent="0.25">
      <c r="A301" s="6"/>
      <c r="B301" s="6" t="str">
        <f t="shared" si="52"/>
        <v/>
      </c>
      <c r="C301" s="6" t="str">
        <f t="shared" si="53"/>
        <v/>
      </c>
      <c r="D301" s="6"/>
      <c r="E301" s="6"/>
      <c r="F301" s="6"/>
      <c r="G301" s="6"/>
      <c r="H301" s="6" t="str">
        <f t="shared" si="54"/>
        <v/>
      </c>
      <c r="I301" s="6" t="str">
        <f t="shared" ca="1" si="55"/>
        <v/>
      </c>
      <c r="J301" s="3" t="str">
        <f t="shared" si="56"/>
        <v/>
      </c>
      <c r="K301" s="6" t="str">
        <f>IF(A301="","",VLOOKUP(J301,[1]Initiated!$A:$Y,2,0))</f>
        <v/>
      </c>
      <c r="L301" s="2" t="str">
        <f>IF(A301="","",VLOOKUP(J301,[1]Initiated!$A:$Y,5,FALSE))</f>
        <v/>
      </c>
      <c r="M301" s="6" t="str">
        <f>IF(A301="","",VLOOKUP(J301,[1]Initiated!$A:$Y,6,FALSE))</f>
        <v/>
      </c>
      <c r="N301" s="6" t="str">
        <f>IF(A301="","",VLOOKUP(J301,[1]Initiated!$A:$Y,9,FALSE))</f>
        <v/>
      </c>
      <c r="O301" s="3" t="str">
        <f t="shared" si="57"/>
        <v/>
      </c>
      <c r="P301" s="6" t="str">
        <f>IF(OR(A301="", ISNUMBER(SEARCH("PFr", C301))), "", VLOOKUP(J301, [1]Initiated!$A:$Y, 7, FALSE))</f>
        <v/>
      </c>
      <c r="Q301" s="6" t="str">
        <f>IF(OR(A301="", ISNUMBER(SEARCH("PFr", C301))), "", VLOOKUP(J301, [1]Initiated!$A:$Y, 8, 0))</f>
        <v/>
      </c>
      <c r="R301" s="5" t="str">
        <f t="shared" si="58"/>
        <v/>
      </c>
      <c r="S301" s="4" t="str">
        <f>IF(A301="","",VLOOKUP(J301,[1]Initiated!$A:$Y,3,FALSE))</f>
        <v/>
      </c>
      <c r="T301" s="4" t="str">
        <f t="shared" ca="1" si="59"/>
        <v/>
      </c>
      <c r="U301" s="5" t="str">
        <f t="shared" si="60"/>
        <v/>
      </c>
      <c r="V301" s="5" t="str">
        <f t="shared" si="61"/>
        <v/>
      </c>
      <c r="W301" s="4" t="str">
        <f>IF(A301="","",VLOOKUP(J301,[1]Initiated!$A:$Y,10,0))</f>
        <v/>
      </c>
      <c r="X301" s="5" t="str">
        <f t="shared" si="62"/>
        <v/>
      </c>
    </row>
    <row r="302" spans="1:24" x14ac:dyDescent="0.25">
      <c r="A302" s="6"/>
      <c r="B302" s="6" t="str">
        <f t="shared" si="52"/>
        <v/>
      </c>
      <c r="C302" s="6" t="str">
        <f t="shared" si="53"/>
        <v/>
      </c>
      <c r="D302" s="6"/>
      <c r="E302" s="6"/>
      <c r="F302" s="6"/>
      <c r="G302" s="6"/>
      <c r="H302" s="6" t="str">
        <f t="shared" si="54"/>
        <v/>
      </c>
      <c r="I302" s="6" t="str">
        <f t="shared" ca="1" si="55"/>
        <v/>
      </c>
      <c r="J302" s="3" t="str">
        <f t="shared" si="56"/>
        <v/>
      </c>
      <c r="K302" s="6" t="str">
        <f>IF(A302="","",VLOOKUP(J302,[1]Initiated!$A:$Y,2,0))</f>
        <v/>
      </c>
      <c r="L302" s="2" t="str">
        <f>IF(A302="","",VLOOKUP(J302,[1]Initiated!$A:$Y,5,FALSE))</f>
        <v/>
      </c>
      <c r="M302" s="6" t="str">
        <f>IF(A302="","",VLOOKUP(J302,[1]Initiated!$A:$Y,6,FALSE))</f>
        <v/>
      </c>
      <c r="N302" s="6" t="str">
        <f>IF(A302="","",VLOOKUP(J302,[1]Initiated!$A:$Y,9,FALSE))</f>
        <v/>
      </c>
      <c r="O302" s="3" t="str">
        <f t="shared" si="57"/>
        <v/>
      </c>
      <c r="P302" s="6" t="str">
        <f>IF(OR(A302="", ISNUMBER(SEARCH("PFr", C302))), "", VLOOKUP(J302, [1]Initiated!$A:$Y, 7, FALSE))</f>
        <v/>
      </c>
      <c r="Q302" s="6" t="str">
        <f>IF(OR(A302="", ISNUMBER(SEARCH("PFr", C302))), "", VLOOKUP(J302, [1]Initiated!$A:$Y, 8, 0))</f>
        <v/>
      </c>
      <c r="R302" s="5" t="str">
        <f t="shared" si="58"/>
        <v/>
      </c>
      <c r="S302" s="4" t="str">
        <f>IF(A302="","",VLOOKUP(J302,[1]Initiated!$A:$Y,3,FALSE))</f>
        <v/>
      </c>
      <c r="T302" s="4" t="str">
        <f t="shared" ca="1" si="59"/>
        <v/>
      </c>
      <c r="U302" s="5" t="str">
        <f t="shared" si="60"/>
        <v/>
      </c>
      <c r="V302" s="5" t="str">
        <f t="shared" si="61"/>
        <v/>
      </c>
      <c r="W302" s="4" t="str">
        <f>IF(A302="","",VLOOKUP(J302,[1]Initiated!$A:$Y,10,0))</f>
        <v/>
      </c>
      <c r="X302" s="5" t="str">
        <f t="shared" si="62"/>
        <v/>
      </c>
    </row>
    <row r="303" spans="1:24" x14ac:dyDescent="0.25">
      <c r="A303" s="6"/>
      <c r="B303" s="6" t="str">
        <f t="shared" si="52"/>
        <v/>
      </c>
      <c r="C303" s="6" t="str">
        <f t="shared" si="53"/>
        <v/>
      </c>
      <c r="D303" s="6"/>
      <c r="E303" s="6"/>
      <c r="F303" s="6"/>
      <c r="G303" s="6"/>
      <c r="H303" s="6" t="str">
        <f t="shared" si="54"/>
        <v/>
      </c>
      <c r="I303" s="6" t="str">
        <f t="shared" ca="1" si="55"/>
        <v/>
      </c>
      <c r="J303" s="3" t="str">
        <f t="shared" si="56"/>
        <v/>
      </c>
      <c r="K303" s="6" t="str">
        <f>IF(A303="","",VLOOKUP(J303,[1]Initiated!$A:$Y,2,0))</f>
        <v/>
      </c>
      <c r="L303" s="2" t="str">
        <f>IF(A303="","",VLOOKUP(J303,[1]Initiated!$A:$Y,5,FALSE))</f>
        <v/>
      </c>
      <c r="M303" s="6" t="str">
        <f>IF(A303="","",VLOOKUP(J303,[1]Initiated!$A:$Y,6,FALSE))</f>
        <v/>
      </c>
      <c r="N303" s="6" t="str">
        <f>IF(A303="","",VLOOKUP(J303,[1]Initiated!$A:$Y,9,FALSE))</f>
        <v/>
      </c>
      <c r="O303" s="3" t="str">
        <f t="shared" si="57"/>
        <v/>
      </c>
      <c r="P303" s="6" t="str">
        <f>IF(OR(A303="", ISNUMBER(SEARCH("PFr", C303))), "", VLOOKUP(J303, [1]Initiated!$A:$Y, 7, FALSE))</f>
        <v/>
      </c>
      <c r="Q303" s="6" t="str">
        <f>IF(OR(A303="", ISNUMBER(SEARCH("PFr", C303))), "", VLOOKUP(J303, [1]Initiated!$A:$Y, 8, 0))</f>
        <v/>
      </c>
      <c r="R303" s="5" t="str">
        <f t="shared" si="58"/>
        <v/>
      </c>
      <c r="S303" s="4" t="str">
        <f>IF(A303="","",VLOOKUP(J303,[1]Initiated!$A:$Y,3,FALSE))</f>
        <v/>
      </c>
      <c r="T303" s="4" t="str">
        <f t="shared" ca="1" si="59"/>
        <v/>
      </c>
      <c r="U303" s="5" t="str">
        <f t="shared" si="60"/>
        <v/>
      </c>
      <c r="V303" s="5" t="str">
        <f t="shared" si="61"/>
        <v/>
      </c>
      <c r="W303" s="4" t="str">
        <f>IF(A303="","",VLOOKUP(J303,[1]Initiated!$A:$Y,10,0))</f>
        <v/>
      </c>
      <c r="X303" s="5" t="str">
        <f t="shared" si="62"/>
        <v/>
      </c>
    </row>
    <row r="304" spans="1:24" x14ac:dyDescent="0.25">
      <c r="A304" s="6"/>
      <c r="B304" s="6" t="str">
        <f t="shared" si="52"/>
        <v/>
      </c>
      <c r="C304" s="6" t="str">
        <f t="shared" si="53"/>
        <v/>
      </c>
      <c r="D304" s="6"/>
      <c r="E304" s="6"/>
      <c r="F304" s="6"/>
      <c r="G304" s="6"/>
      <c r="H304" s="6" t="str">
        <f t="shared" si="54"/>
        <v/>
      </c>
      <c r="I304" s="6" t="str">
        <f t="shared" ca="1" si="55"/>
        <v/>
      </c>
      <c r="J304" s="3" t="str">
        <f t="shared" si="56"/>
        <v/>
      </c>
      <c r="K304" s="6" t="str">
        <f>IF(A304="","",VLOOKUP(J304,[1]Initiated!$A:$Y,2,0))</f>
        <v/>
      </c>
      <c r="L304" s="2" t="str">
        <f>IF(A304="","",VLOOKUP(J304,[1]Initiated!$A:$Y,5,FALSE))</f>
        <v/>
      </c>
      <c r="M304" s="6" t="str">
        <f>IF(A304="","",VLOOKUP(J304,[1]Initiated!$A:$Y,6,FALSE))</f>
        <v/>
      </c>
      <c r="N304" s="6" t="str">
        <f>IF(A304="","",VLOOKUP(J304,[1]Initiated!$A:$Y,9,FALSE))</f>
        <v/>
      </c>
      <c r="O304" s="3" t="str">
        <f t="shared" si="57"/>
        <v/>
      </c>
      <c r="P304" s="6" t="str">
        <f>IF(OR(A304="", ISNUMBER(SEARCH("PFr", C304))), "", VLOOKUP(J304, [1]Initiated!$A:$Y, 7, FALSE))</f>
        <v/>
      </c>
      <c r="Q304" s="6" t="str">
        <f>IF(OR(A304="", ISNUMBER(SEARCH("PFr", C304))), "", VLOOKUP(J304, [1]Initiated!$A:$Y, 8, 0))</f>
        <v/>
      </c>
      <c r="R304" s="5" t="str">
        <f t="shared" si="58"/>
        <v/>
      </c>
      <c r="S304" s="4" t="str">
        <f>IF(A304="","",VLOOKUP(J304,[1]Initiated!$A:$Y,3,FALSE))</f>
        <v/>
      </c>
      <c r="T304" s="4" t="str">
        <f t="shared" ca="1" si="59"/>
        <v/>
      </c>
      <c r="U304" s="5" t="str">
        <f t="shared" si="60"/>
        <v/>
      </c>
      <c r="V304" s="5" t="str">
        <f t="shared" si="61"/>
        <v/>
      </c>
      <c r="W304" s="4" t="str">
        <f>IF(A304="","",VLOOKUP(J304,[1]Initiated!$A:$Y,10,0))</f>
        <v/>
      </c>
      <c r="X304" s="5" t="str">
        <f t="shared" si="62"/>
        <v/>
      </c>
    </row>
    <row r="305" spans="1:24" x14ac:dyDescent="0.25">
      <c r="A305" s="6"/>
      <c r="B305" s="6" t="str">
        <f t="shared" si="52"/>
        <v/>
      </c>
      <c r="C305" s="6" t="str">
        <f t="shared" si="53"/>
        <v/>
      </c>
      <c r="D305" s="6"/>
      <c r="E305" s="6"/>
      <c r="F305" s="6"/>
      <c r="G305" s="6"/>
      <c r="H305" s="6" t="str">
        <f t="shared" si="54"/>
        <v/>
      </c>
      <c r="I305" s="6" t="str">
        <f t="shared" ca="1" si="55"/>
        <v/>
      </c>
      <c r="J305" s="3" t="str">
        <f t="shared" si="56"/>
        <v/>
      </c>
      <c r="K305" s="6" t="str">
        <f>IF(A305="","",VLOOKUP(J305,[1]Initiated!$A:$Y,2,0))</f>
        <v/>
      </c>
      <c r="L305" s="2" t="str">
        <f>IF(A305="","",VLOOKUP(J305,[1]Initiated!$A:$Y,5,FALSE))</f>
        <v/>
      </c>
      <c r="M305" s="6" t="str">
        <f>IF(A305="","",VLOOKUP(J305,[1]Initiated!$A:$Y,6,FALSE))</f>
        <v/>
      </c>
      <c r="N305" s="6" t="str">
        <f>IF(A305="","",VLOOKUP(J305,[1]Initiated!$A:$Y,9,FALSE))</f>
        <v/>
      </c>
      <c r="O305" s="3" t="str">
        <f t="shared" si="57"/>
        <v/>
      </c>
      <c r="P305" s="6" t="str">
        <f>IF(OR(A305="", ISNUMBER(SEARCH("PFr", C305))), "", VLOOKUP(J305, [1]Initiated!$A:$Y, 7, FALSE))</f>
        <v/>
      </c>
      <c r="Q305" s="6" t="str">
        <f>IF(OR(A305="", ISNUMBER(SEARCH("PFr", C305))), "", VLOOKUP(J305, [1]Initiated!$A:$Y, 8, 0))</f>
        <v/>
      </c>
      <c r="R305" s="5" t="str">
        <f t="shared" si="58"/>
        <v/>
      </c>
      <c r="S305" s="4" t="str">
        <f>IF(A305="","",VLOOKUP(J305,[1]Initiated!$A:$Y,3,FALSE))</f>
        <v/>
      </c>
      <c r="T305" s="4" t="str">
        <f t="shared" ca="1" si="59"/>
        <v/>
      </c>
      <c r="U305" s="5" t="str">
        <f t="shared" si="60"/>
        <v/>
      </c>
      <c r="V305" s="5" t="str">
        <f t="shared" si="61"/>
        <v/>
      </c>
      <c r="W305" s="4" t="str">
        <f>IF(A305="","",VLOOKUP(J305,[1]Initiated!$A:$Y,10,0))</f>
        <v/>
      </c>
      <c r="X305" s="5" t="str">
        <f t="shared" si="62"/>
        <v/>
      </c>
    </row>
    <row r="306" spans="1:24" x14ac:dyDescent="0.25">
      <c r="A306" s="6"/>
      <c r="B306" s="6" t="str">
        <f t="shared" si="52"/>
        <v/>
      </c>
      <c r="C306" s="6" t="str">
        <f t="shared" si="53"/>
        <v/>
      </c>
      <c r="D306" s="6"/>
      <c r="E306" s="6"/>
      <c r="F306" s="6"/>
      <c r="G306" s="6"/>
      <c r="H306" s="6" t="str">
        <f t="shared" si="54"/>
        <v/>
      </c>
      <c r="I306" s="6" t="str">
        <f t="shared" ca="1" si="55"/>
        <v/>
      </c>
      <c r="J306" s="3" t="str">
        <f t="shared" si="56"/>
        <v/>
      </c>
      <c r="K306" s="6" t="str">
        <f>IF(A306="","",VLOOKUP(J306,[1]Initiated!$A:$Y,2,0))</f>
        <v/>
      </c>
      <c r="L306" s="2" t="str">
        <f>IF(A306="","",VLOOKUP(J306,[1]Initiated!$A:$Y,5,FALSE))</f>
        <v/>
      </c>
      <c r="M306" s="6" t="str">
        <f>IF(A306="","",VLOOKUP(J306,[1]Initiated!$A:$Y,6,FALSE))</f>
        <v/>
      </c>
      <c r="N306" s="6" t="str">
        <f>IF(A306="","",VLOOKUP(J306,[1]Initiated!$A:$Y,9,FALSE))</f>
        <v/>
      </c>
      <c r="O306" s="3" t="str">
        <f t="shared" si="57"/>
        <v/>
      </c>
      <c r="P306" s="6" t="str">
        <f>IF(OR(A306="", ISNUMBER(SEARCH("PFr", C306))), "", VLOOKUP(J306, [1]Initiated!$A:$Y, 7, FALSE))</f>
        <v/>
      </c>
      <c r="Q306" s="6" t="str">
        <f>IF(OR(A306="", ISNUMBER(SEARCH("PFr", C306))), "", VLOOKUP(J306, [1]Initiated!$A:$Y, 8, 0))</f>
        <v/>
      </c>
      <c r="R306" s="5" t="str">
        <f t="shared" si="58"/>
        <v/>
      </c>
      <c r="S306" s="4" t="str">
        <f>IF(A306="","",VLOOKUP(J306,[1]Initiated!$A:$Y,3,FALSE))</f>
        <v/>
      </c>
      <c r="T306" s="4" t="str">
        <f t="shared" ca="1" si="59"/>
        <v/>
      </c>
      <c r="U306" s="5" t="str">
        <f t="shared" si="60"/>
        <v/>
      </c>
      <c r="V306" s="5" t="str">
        <f t="shared" si="61"/>
        <v/>
      </c>
      <c r="W306" s="4" t="str">
        <f>IF(A306="","",VLOOKUP(J306,[1]Initiated!$A:$Y,10,0))</f>
        <v/>
      </c>
      <c r="X306" s="5" t="str">
        <f t="shared" si="62"/>
        <v/>
      </c>
    </row>
    <row r="307" spans="1:24" x14ac:dyDescent="0.25">
      <c r="A307" s="6"/>
      <c r="B307" s="6" t="str">
        <f t="shared" si="52"/>
        <v/>
      </c>
      <c r="C307" s="6" t="str">
        <f t="shared" si="53"/>
        <v/>
      </c>
      <c r="D307" s="6"/>
      <c r="E307" s="6"/>
      <c r="F307" s="6"/>
      <c r="G307" s="6"/>
      <c r="H307" s="6" t="str">
        <f t="shared" si="54"/>
        <v/>
      </c>
      <c r="I307" s="6" t="str">
        <f t="shared" ca="1" si="55"/>
        <v/>
      </c>
      <c r="J307" s="3" t="str">
        <f t="shared" si="56"/>
        <v/>
      </c>
      <c r="K307" s="6" t="str">
        <f>IF(A307="","",VLOOKUP(J307,[1]Initiated!$A:$Y,2,0))</f>
        <v/>
      </c>
      <c r="L307" s="2" t="str">
        <f>IF(A307="","",VLOOKUP(J307,[1]Initiated!$A:$Y,5,FALSE))</f>
        <v/>
      </c>
      <c r="M307" s="6" t="str">
        <f>IF(A307="","",VLOOKUP(J307,[1]Initiated!$A:$Y,6,FALSE))</f>
        <v/>
      </c>
      <c r="N307" s="6" t="str">
        <f>IF(A307="","",VLOOKUP(J307,[1]Initiated!$A:$Y,9,FALSE))</f>
        <v/>
      </c>
      <c r="O307" s="3" t="str">
        <f t="shared" si="57"/>
        <v/>
      </c>
      <c r="P307" s="6" t="str">
        <f>IF(OR(A307="", ISNUMBER(SEARCH("PFr", C307))), "", VLOOKUP(J307, [1]Initiated!$A:$Y, 7, FALSE))</f>
        <v/>
      </c>
      <c r="Q307" s="6" t="str">
        <f>IF(OR(A307="", ISNUMBER(SEARCH("PFr", C307))), "", VLOOKUP(J307, [1]Initiated!$A:$Y, 8, 0))</f>
        <v/>
      </c>
      <c r="R307" s="5" t="str">
        <f t="shared" si="58"/>
        <v/>
      </c>
      <c r="S307" s="4" t="str">
        <f>IF(A307="","",VLOOKUP(J307,[1]Initiated!$A:$Y,3,FALSE))</f>
        <v/>
      </c>
      <c r="T307" s="4" t="str">
        <f t="shared" ca="1" si="59"/>
        <v/>
      </c>
      <c r="U307" s="5" t="str">
        <f t="shared" si="60"/>
        <v/>
      </c>
      <c r="V307" s="5" t="str">
        <f t="shared" si="61"/>
        <v/>
      </c>
      <c r="W307" s="4" t="str">
        <f>IF(A307="","",VLOOKUP(J307,[1]Initiated!$A:$Y,10,0))</f>
        <v/>
      </c>
      <c r="X307" s="5" t="str">
        <f t="shared" si="62"/>
        <v/>
      </c>
    </row>
    <row r="308" spans="1:24" x14ac:dyDescent="0.25">
      <c r="A308" s="6"/>
      <c r="B308" s="6" t="str">
        <f t="shared" si="52"/>
        <v/>
      </c>
      <c r="C308" s="6" t="str">
        <f t="shared" si="53"/>
        <v/>
      </c>
      <c r="D308" s="6"/>
      <c r="E308" s="6"/>
      <c r="F308" s="6"/>
      <c r="G308" s="6"/>
      <c r="H308" s="6" t="str">
        <f t="shared" si="54"/>
        <v/>
      </c>
      <c r="I308" s="6" t="str">
        <f t="shared" ca="1" si="55"/>
        <v/>
      </c>
      <c r="J308" s="3" t="str">
        <f t="shared" si="56"/>
        <v/>
      </c>
      <c r="K308" s="6" t="str">
        <f>IF(A308="","",VLOOKUP(J308,[1]Initiated!$A:$Y,2,0))</f>
        <v/>
      </c>
      <c r="L308" s="2" t="str">
        <f>IF(A308="","",VLOOKUP(J308,[1]Initiated!$A:$Y,5,FALSE))</f>
        <v/>
      </c>
      <c r="M308" s="6" t="str">
        <f>IF(A308="","",VLOOKUP(J308,[1]Initiated!$A:$Y,6,FALSE))</f>
        <v/>
      </c>
      <c r="N308" s="6" t="str">
        <f>IF(A308="","",VLOOKUP(J308,[1]Initiated!$A:$Y,9,FALSE))</f>
        <v/>
      </c>
      <c r="O308" s="3" t="str">
        <f t="shared" si="57"/>
        <v/>
      </c>
      <c r="P308" s="6" t="str">
        <f>IF(OR(A308="", ISNUMBER(SEARCH("PFr", C308))), "", VLOOKUP(J308, [1]Initiated!$A:$Y, 7, FALSE))</f>
        <v/>
      </c>
      <c r="Q308" s="6" t="str">
        <f>IF(OR(A308="", ISNUMBER(SEARCH("PFr", C308))), "", VLOOKUP(J308, [1]Initiated!$A:$Y, 8, 0))</f>
        <v/>
      </c>
      <c r="R308" s="5" t="str">
        <f t="shared" si="58"/>
        <v/>
      </c>
      <c r="S308" s="4" t="str">
        <f>IF(A308="","",VLOOKUP(J308,[1]Initiated!$A:$Y,3,FALSE))</f>
        <v/>
      </c>
      <c r="T308" s="4" t="str">
        <f t="shared" ca="1" si="59"/>
        <v/>
      </c>
      <c r="U308" s="5" t="str">
        <f t="shared" si="60"/>
        <v/>
      </c>
      <c r="V308" s="5" t="str">
        <f t="shared" si="61"/>
        <v/>
      </c>
      <c r="W308" s="4" t="str">
        <f>IF(A308="","",VLOOKUP(J308,[1]Initiated!$A:$Y,10,0))</f>
        <v/>
      </c>
      <c r="X308" s="5" t="str">
        <f t="shared" si="62"/>
        <v/>
      </c>
    </row>
    <row r="309" spans="1:24" x14ac:dyDescent="0.25">
      <c r="A309" s="6"/>
      <c r="B309" s="6" t="str">
        <f t="shared" si="52"/>
        <v/>
      </c>
      <c r="C309" s="6" t="str">
        <f t="shared" si="53"/>
        <v/>
      </c>
      <c r="D309" s="6"/>
      <c r="E309" s="6"/>
      <c r="F309" s="6"/>
      <c r="G309" s="6"/>
      <c r="H309" s="6" t="str">
        <f t="shared" si="54"/>
        <v/>
      </c>
      <c r="I309" s="6" t="str">
        <f t="shared" ca="1" si="55"/>
        <v/>
      </c>
      <c r="J309" s="3" t="str">
        <f t="shared" si="56"/>
        <v/>
      </c>
      <c r="K309" s="6" t="str">
        <f>IF(A309="","",VLOOKUP(J309,[1]Initiated!$A:$Y,2,0))</f>
        <v/>
      </c>
      <c r="L309" s="2" t="str">
        <f>IF(A309="","",VLOOKUP(J309,[1]Initiated!$A:$Y,5,FALSE))</f>
        <v/>
      </c>
      <c r="M309" s="6" t="str">
        <f>IF(A309="","",VLOOKUP(J309,[1]Initiated!$A:$Y,6,FALSE))</f>
        <v/>
      </c>
      <c r="N309" s="6" t="str">
        <f>IF(A309="","",VLOOKUP(J309,[1]Initiated!$A:$Y,9,FALSE))</f>
        <v/>
      </c>
      <c r="O309" s="3" t="str">
        <f t="shared" si="57"/>
        <v/>
      </c>
      <c r="P309" s="6" t="str">
        <f>IF(OR(A309="", ISNUMBER(SEARCH("PFr", C309))), "", VLOOKUP(J309, [1]Initiated!$A:$Y, 7, FALSE))</f>
        <v/>
      </c>
      <c r="Q309" s="6" t="str">
        <f>IF(OR(A309="", ISNUMBER(SEARCH("PFr", C309))), "", VLOOKUP(J309, [1]Initiated!$A:$Y, 8, 0))</f>
        <v/>
      </c>
      <c r="R309" s="5" t="str">
        <f t="shared" si="58"/>
        <v/>
      </c>
      <c r="S309" s="4" t="str">
        <f>IF(A309="","",VLOOKUP(J309,[1]Initiated!$A:$Y,3,FALSE))</f>
        <v/>
      </c>
      <c r="T309" s="4" t="str">
        <f t="shared" ca="1" si="59"/>
        <v/>
      </c>
      <c r="U309" s="5" t="str">
        <f t="shared" si="60"/>
        <v/>
      </c>
      <c r="V309" s="5" t="str">
        <f t="shared" si="61"/>
        <v/>
      </c>
      <c r="W309" s="4" t="str">
        <f>IF(A309="","",VLOOKUP(J309,[1]Initiated!$A:$Y,10,0))</f>
        <v/>
      </c>
      <c r="X309" s="5" t="str">
        <f t="shared" si="62"/>
        <v/>
      </c>
    </row>
    <row r="310" spans="1:24" x14ac:dyDescent="0.25">
      <c r="A310" s="6"/>
      <c r="B310" s="6" t="str">
        <f t="shared" si="52"/>
        <v/>
      </c>
      <c r="C310" s="6" t="str">
        <f t="shared" si="53"/>
        <v/>
      </c>
      <c r="D310" s="6"/>
      <c r="E310" s="6"/>
      <c r="F310" s="6"/>
      <c r="G310" s="6"/>
      <c r="H310" s="6" t="str">
        <f t="shared" si="54"/>
        <v/>
      </c>
      <c r="I310" s="6" t="str">
        <f t="shared" ca="1" si="55"/>
        <v/>
      </c>
      <c r="J310" s="3" t="str">
        <f t="shared" si="56"/>
        <v/>
      </c>
      <c r="K310" s="6" t="str">
        <f>IF(A310="","",VLOOKUP(J310,[1]Initiated!$A:$Y,2,0))</f>
        <v/>
      </c>
      <c r="L310" s="2" t="str">
        <f>IF(A310="","",VLOOKUP(J310,[1]Initiated!$A:$Y,5,FALSE))</f>
        <v/>
      </c>
      <c r="M310" s="6" t="str">
        <f>IF(A310="","",VLOOKUP(J310,[1]Initiated!$A:$Y,6,FALSE))</f>
        <v/>
      </c>
      <c r="N310" s="6" t="str">
        <f>IF(A310="","",VLOOKUP(J310,[1]Initiated!$A:$Y,9,FALSE))</f>
        <v/>
      </c>
      <c r="O310" s="3" t="str">
        <f t="shared" si="57"/>
        <v/>
      </c>
      <c r="P310" s="6" t="str">
        <f>IF(OR(A310="", ISNUMBER(SEARCH("PFr", C310))), "", VLOOKUP(J310, [1]Initiated!$A:$Y, 7, FALSE))</f>
        <v/>
      </c>
      <c r="Q310" s="6" t="str">
        <f>IF(OR(A310="", ISNUMBER(SEARCH("PFr", C310))), "", VLOOKUP(J310, [1]Initiated!$A:$Y, 8, 0))</f>
        <v/>
      </c>
      <c r="R310" s="5" t="str">
        <f t="shared" si="58"/>
        <v/>
      </c>
      <c r="S310" s="4" t="str">
        <f>IF(A310="","",VLOOKUP(J310,[1]Initiated!$A:$Y,3,FALSE))</f>
        <v/>
      </c>
      <c r="T310" s="4" t="str">
        <f t="shared" ca="1" si="59"/>
        <v/>
      </c>
      <c r="U310" s="5" t="str">
        <f t="shared" si="60"/>
        <v/>
      </c>
      <c r="V310" s="5" t="str">
        <f t="shared" si="61"/>
        <v/>
      </c>
      <c r="W310" s="4" t="str">
        <f>IF(A310="","",VLOOKUP(J310,[1]Initiated!$A:$Y,10,0))</f>
        <v/>
      </c>
      <c r="X310" s="5" t="str">
        <f t="shared" si="62"/>
        <v/>
      </c>
    </row>
    <row r="311" spans="1:24" x14ac:dyDescent="0.25">
      <c r="A311" s="6"/>
      <c r="B311" s="6" t="str">
        <f t="shared" si="52"/>
        <v/>
      </c>
      <c r="C311" s="6" t="str">
        <f t="shared" si="53"/>
        <v/>
      </c>
      <c r="D311" s="6"/>
      <c r="E311" s="6"/>
      <c r="F311" s="6"/>
      <c r="G311" s="6"/>
      <c r="H311" s="6" t="str">
        <f t="shared" si="54"/>
        <v/>
      </c>
      <c r="I311" s="6" t="str">
        <f t="shared" ca="1" si="55"/>
        <v/>
      </c>
      <c r="J311" s="3" t="str">
        <f t="shared" si="56"/>
        <v/>
      </c>
      <c r="K311" s="6" t="str">
        <f>IF(A311="","",VLOOKUP(J311,[1]Initiated!$A:$Y,2,0))</f>
        <v/>
      </c>
      <c r="L311" s="2" t="str">
        <f>IF(A311="","",VLOOKUP(J311,[1]Initiated!$A:$Y,5,FALSE))</f>
        <v/>
      </c>
      <c r="M311" s="6" t="str">
        <f>IF(A311="","",VLOOKUP(J311,[1]Initiated!$A:$Y,6,FALSE))</f>
        <v/>
      </c>
      <c r="N311" s="6" t="str">
        <f>IF(A311="","",VLOOKUP(J311,[1]Initiated!$A:$Y,9,FALSE))</f>
        <v/>
      </c>
      <c r="O311" s="3" t="str">
        <f t="shared" si="57"/>
        <v/>
      </c>
      <c r="P311" s="6" t="str">
        <f>IF(OR(A311="", ISNUMBER(SEARCH("PFr", C311))), "", VLOOKUP(J311, [1]Initiated!$A:$Y, 7, FALSE))</f>
        <v/>
      </c>
      <c r="Q311" s="6" t="str">
        <f>IF(OR(A311="", ISNUMBER(SEARCH("PFr", C311))), "", VLOOKUP(J311, [1]Initiated!$A:$Y, 8, 0))</f>
        <v/>
      </c>
      <c r="R311" s="5" t="str">
        <f t="shared" si="58"/>
        <v/>
      </c>
      <c r="S311" s="4" t="str">
        <f>IF(A311="","",VLOOKUP(J311,[1]Initiated!$A:$Y,3,FALSE))</f>
        <v/>
      </c>
      <c r="T311" s="4" t="str">
        <f t="shared" ca="1" si="59"/>
        <v/>
      </c>
      <c r="U311" s="5" t="str">
        <f t="shared" si="60"/>
        <v/>
      </c>
      <c r="V311" s="5" t="str">
        <f t="shared" si="61"/>
        <v/>
      </c>
      <c r="W311" s="4" t="str">
        <f>IF(A311="","",VLOOKUP(J311,[1]Initiated!$A:$Y,10,0))</f>
        <v/>
      </c>
      <c r="X311" s="5" t="str">
        <f t="shared" si="62"/>
        <v/>
      </c>
    </row>
    <row r="312" spans="1:24" x14ac:dyDescent="0.25">
      <c r="A312" s="6"/>
      <c r="B312" s="6" t="str">
        <f t="shared" si="52"/>
        <v/>
      </c>
      <c r="C312" s="6" t="str">
        <f t="shared" si="53"/>
        <v/>
      </c>
      <c r="D312" s="6"/>
      <c r="E312" s="6"/>
      <c r="F312" s="6"/>
      <c r="G312" s="6"/>
      <c r="H312" s="6" t="str">
        <f t="shared" si="54"/>
        <v/>
      </c>
      <c r="I312" s="6" t="str">
        <f t="shared" ca="1" si="55"/>
        <v/>
      </c>
      <c r="J312" s="3" t="str">
        <f t="shared" si="56"/>
        <v/>
      </c>
      <c r="K312" s="6" t="str">
        <f>IF(A312="","",VLOOKUP(J312,[1]Initiated!$A:$Y,2,0))</f>
        <v/>
      </c>
      <c r="L312" s="2" t="str">
        <f>IF(A312="","",VLOOKUP(J312,[1]Initiated!$A:$Y,5,FALSE))</f>
        <v/>
      </c>
      <c r="M312" s="6" t="str">
        <f>IF(A312="","",VLOOKUP(J312,[1]Initiated!$A:$Y,6,FALSE))</f>
        <v/>
      </c>
      <c r="N312" s="6" t="str">
        <f>IF(A312="","",VLOOKUP(J312,[1]Initiated!$A:$Y,9,FALSE))</f>
        <v/>
      </c>
      <c r="O312" s="3" t="str">
        <f t="shared" si="57"/>
        <v/>
      </c>
      <c r="P312" s="6" t="str">
        <f>IF(OR(A312="", ISNUMBER(SEARCH("PFr", C312))), "", VLOOKUP(J312, [1]Initiated!$A:$Y, 7, FALSE))</f>
        <v/>
      </c>
      <c r="Q312" s="6" t="str">
        <f>IF(OR(A312="", ISNUMBER(SEARCH("PFr", C312))), "", VLOOKUP(J312, [1]Initiated!$A:$Y, 8, 0))</f>
        <v/>
      </c>
      <c r="R312" s="5" t="str">
        <f t="shared" si="58"/>
        <v/>
      </c>
      <c r="S312" s="4" t="str">
        <f>IF(A312="","",VLOOKUP(J312,[1]Initiated!$A:$Y,3,FALSE))</f>
        <v/>
      </c>
      <c r="T312" s="4" t="str">
        <f t="shared" ca="1" si="59"/>
        <v/>
      </c>
      <c r="U312" s="5" t="str">
        <f t="shared" si="60"/>
        <v/>
      </c>
      <c r="V312" s="5" t="str">
        <f t="shared" si="61"/>
        <v/>
      </c>
      <c r="W312" s="4" t="str">
        <f>IF(A312="","",VLOOKUP(J312,[1]Initiated!$A:$Y,10,0))</f>
        <v/>
      </c>
      <c r="X312" s="5" t="str">
        <f t="shared" si="62"/>
        <v/>
      </c>
    </row>
    <row r="313" spans="1:24" x14ac:dyDescent="0.25">
      <c r="A313" s="6"/>
      <c r="B313" s="6" t="str">
        <f t="shared" si="52"/>
        <v/>
      </c>
      <c r="C313" s="6" t="str">
        <f t="shared" si="53"/>
        <v/>
      </c>
      <c r="D313" s="6"/>
      <c r="E313" s="6"/>
      <c r="F313" s="6"/>
      <c r="G313" s="6"/>
      <c r="H313" s="6" t="str">
        <f t="shared" si="54"/>
        <v/>
      </c>
      <c r="I313" s="6" t="str">
        <f t="shared" ca="1" si="55"/>
        <v/>
      </c>
      <c r="J313" s="3" t="str">
        <f t="shared" si="56"/>
        <v/>
      </c>
      <c r="K313" s="6" t="str">
        <f>IF(A313="","",VLOOKUP(J313,[1]Initiated!$A:$Y,2,0))</f>
        <v/>
      </c>
      <c r="L313" s="2" t="str">
        <f>IF(A313="","",VLOOKUP(J313,[1]Initiated!$A:$Y,5,FALSE))</f>
        <v/>
      </c>
      <c r="M313" s="6" t="str">
        <f>IF(A313="","",VLOOKUP(J313,[1]Initiated!$A:$Y,6,FALSE))</f>
        <v/>
      </c>
      <c r="N313" s="6" t="str">
        <f>IF(A313="","",VLOOKUP(J313,[1]Initiated!$A:$Y,9,FALSE))</f>
        <v/>
      </c>
      <c r="O313" s="3" t="str">
        <f t="shared" si="57"/>
        <v/>
      </c>
      <c r="P313" s="6" t="str">
        <f>IF(OR(A313="", ISNUMBER(SEARCH("PFr", C313))), "", VLOOKUP(J313, [1]Initiated!$A:$Y, 7, FALSE))</f>
        <v/>
      </c>
      <c r="Q313" s="6" t="str">
        <f>IF(OR(A313="", ISNUMBER(SEARCH("PFr", C313))), "", VLOOKUP(J313, [1]Initiated!$A:$Y, 8, 0))</f>
        <v/>
      </c>
      <c r="R313" s="5" t="str">
        <f t="shared" si="58"/>
        <v/>
      </c>
      <c r="S313" s="4" t="str">
        <f>IF(A313="","",VLOOKUP(J313,[1]Initiated!$A:$Y,3,FALSE))</f>
        <v/>
      </c>
      <c r="T313" s="4" t="str">
        <f t="shared" ca="1" si="59"/>
        <v/>
      </c>
      <c r="U313" s="5" t="str">
        <f t="shared" si="60"/>
        <v/>
      </c>
      <c r="V313" s="5" t="str">
        <f t="shared" si="61"/>
        <v/>
      </c>
      <c r="W313" s="4" t="str">
        <f>IF(A313="","",VLOOKUP(J313,[1]Initiated!$A:$Y,10,0))</f>
        <v/>
      </c>
      <c r="X313" s="5" t="str">
        <f t="shared" si="62"/>
        <v/>
      </c>
    </row>
    <row r="314" spans="1:24" x14ac:dyDescent="0.25">
      <c r="A314" s="6"/>
      <c r="B314" s="6" t="str">
        <f t="shared" si="52"/>
        <v/>
      </c>
      <c r="C314" s="6" t="str">
        <f t="shared" si="53"/>
        <v/>
      </c>
      <c r="D314" s="6"/>
      <c r="E314" s="6"/>
      <c r="F314" s="6"/>
      <c r="G314" s="6"/>
      <c r="H314" s="6" t="str">
        <f t="shared" si="54"/>
        <v/>
      </c>
      <c r="I314" s="6" t="str">
        <f t="shared" ca="1" si="55"/>
        <v/>
      </c>
      <c r="J314" s="3" t="str">
        <f t="shared" si="56"/>
        <v/>
      </c>
      <c r="K314" s="6" t="str">
        <f>IF(A314="","",VLOOKUP(J314,[1]Initiated!$A:$Y,2,0))</f>
        <v/>
      </c>
      <c r="L314" s="2" t="str">
        <f>IF(A314="","",VLOOKUP(J314,[1]Initiated!$A:$Y,5,FALSE))</f>
        <v/>
      </c>
      <c r="M314" s="6" t="str">
        <f>IF(A314="","",VLOOKUP(J314,[1]Initiated!$A:$Y,6,FALSE))</f>
        <v/>
      </c>
      <c r="N314" s="6" t="str">
        <f>IF(A314="","",VLOOKUP(J314,[1]Initiated!$A:$Y,9,FALSE))</f>
        <v/>
      </c>
      <c r="O314" s="3" t="str">
        <f t="shared" si="57"/>
        <v/>
      </c>
      <c r="P314" s="6" t="str">
        <f>IF(OR(A314="", ISNUMBER(SEARCH("PFr", C314))), "", VLOOKUP(J314, [1]Initiated!$A:$Y, 7, FALSE))</f>
        <v/>
      </c>
      <c r="Q314" s="6" t="str">
        <f>IF(OR(A314="", ISNUMBER(SEARCH("PFr", C314))), "", VLOOKUP(J314, [1]Initiated!$A:$Y, 8, 0))</f>
        <v/>
      </c>
      <c r="R314" s="5" t="str">
        <f t="shared" si="58"/>
        <v/>
      </c>
      <c r="S314" s="4" t="str">
        <f>IF(A314="","",VLOOKUP(J314,[1]Initiated!$A:$Y,3,FALSE))</f>
        <v/>
      </c>
      <c r="T314" s="4" t="str">
        <f t="shared" ca="1" si="59"/>
        <v/>
      </c>
      <c r="U314" s="5" t="str">
        <f t="shared" si="60"/>
        <v/>
      </c>
      <c r="V314" s="5" t="str">
        <f t="shared" si="61"/>
        <v/>
      </c>
      <c r="W314" s="4" t="str">
        <f>IF(A314="","",VLOOKUP(J314,[1]Initiated!$A:$Y,10,0))</f>
        <v/>
      </c>
      <c r="X314" s="5" t="str">
        <f t="shared" si="62"/>
        <v/>
      </c>
    </row>
  </sheetData>
  <sortState ref="A2:AB16">
    <sortCondition ref="J2:J16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 Sequenced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2026-04-10T19:50:36Z</dcterms:modified>
</cp:coreProperties>
</file>