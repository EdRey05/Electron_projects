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5" yWindow="-105" windowWidth="23250" windowHeight="12450"/>
  </bookViews>
  <sheets>
    <sheet name="Data" sheetId="4" r:id="rId1"/>
    <sheet name="Layout" sheetId="6" r:id="rId2"/>
    <sheet name="Layout (Simplified)" sheetId="7" r:id="rId3"/>
    <sheet name="FileNames" sheetId="3" r:id="rId4"/>
  </sheets>
  <externalReferences>
    <externalReference r:id="rId5"/>
  </externalReferences>
  <definedNames>
    <definedName name="_xlnm._FilterDatabase" localSheetId="0" hidden="1">Data!$A$1:$F$97</definedName>
    <definedName name="_xlnm.Print_Area" localSheetId="1">Layout!$A$1:$O$32</definedName>
    <definedName name="_xlnm.Print_Area" localSheetId="2">'Layout (Simplified)'!$A$1:$O$32</definedName>
    <definedName name="Sample">#REF!</definedName>
  </definedNames>
  <calcPr calcId="14562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2" i="4"/>
  <c r="M24" i="7" l="1"/>
  <c r="L24" i="7"/>
  <c r="K24" i="7"/>
  <c r="J24" i="7"/>
  <c r="I24" i="7"/>
  <c r="H24" i="7"/>
  <c r="G24" i="7"/>
  <c r="F24" i="7"/>
  <c r="E24" i="7"/>
  <c r="D24" i="7"/>
  <c r="C24" i="7"/>
  <c r="B24" i="7"/>
  <c r="M21" i="7"/>
  <c r="L21" i="7"/>
  <c r="K21" i="7"/>
  <c r="J21" i="7"/>
  <c r="I21" i="7"/>
  <c r="H21" i="7"/>
  <c r="G21" i="7"/>
  <c r="F21" i="7"/>
  <c r="E21" i="7"/>
  <c r="D21" i="7"/>
  <c r="C21" i="7"/>
  <c r="B21" i="7"/>
  <c r="M18" i="7"/>
  <c r="L18" i="7"/>
  <c r="K18" i="7"/>
  <c r="J18" i="7"/>
  <c r="I18" i="7"/>
  <c r="H18" i="7"/>
  <c r="G18" i="7"/>
  <c r="F18" i="7"/>
  <c r="E18" i="7"/>
  <c r="D18" i="7"/>
  <c r="C18" i="7"/>
  <c r="B18" i="7"/>
  <c r="M15" i="7"/>
  <c r="L15" i="7"/>
  <c r="K15" i="7"/>
  <c r="J15" i="7"/>
  <c r="I15" i="7"/>
  <c r="H15" i="7"/>
  <c r="G15" i="7"/>
  <c r="F15" i="7"/>
  <c r="E15" i="7"/>
  <c r="D15" i="7"/>
  <c r="C15" i="7"/>
  <c r="B15" i="7"/>
  <c r="M12" i="7"/>
  <c r="L12" i="7"/>
  <c r="K12" i="7"/>
  <c r="J12" i="7"/>
  <c r="I12" i="7"/>
  <c r="H12" i="7"/>
  <c r="G12" i="7"/>
  <c r="F12" i="7"/>
  <c r="E12" i="7"/>
  <c r="D12" i="7"/>
  <c r="C12" i="7"/>
  <c r="B12" i="7"/>
  <c r="M24" i="6"/>
  <c r="M21" i="6"/>
  <c r="M18" i="6"/>
  <c r="M15" i="6"/>
  <c r="M12" i="6"/>
  <c r="L24" i="6"/>
  <c r="L21" i="6"/>
  <c r="L18" i="6"/>
  <c r="L15" i="6"/>
  <c r="L12" i="6"/>
  <c r="K24" i="6"/>
  <c r="K21" i="6"/>
  <c r="K18" i="6"/>
  <c r="K15" i="6"/>
  <c r="K12" i="6"/>
  <c r="J24" i="6"/>
  <c r="J21" i="6"/>
  <c r="J18" i="6"/>
  <c r="J15" i="6"/>
  <c r="J12" i="6"/>
  <c r="I24" i="6"/>
  <c r="I21" i="6"/>
  <c r="I18" i="6"/>
  <c r="I15" i="6"/>
  <c r="I12" i="6"/>
  <c r="H24" i="6"/>
  <c r="H21" i="6"/>
  <c r="H18" i="6"/>
  <c r="H15" i="6"/>
  <c r="H12" i="6"/>
  <c r="G24" i="6"/>
  <c r="G21" i="6"/>
  <c r="G18" i="6"/>
  <c r="G15" i="6"/>
  <c r="G12" i="6"/>
  <c r="F24" i="6"/>
  <c r="F21" i="6"/>
  <c r="F18" i="6"/>
  <c r="F15" i="6"/>
  <c r="F12" i="6"/>
  <c r="E24" i="6"/>
  <c r="E21" i="6"/>
  <c r="E18" i="6"/>
  <c r="E15" i="6"/>
  <c r="E12" i="6"/>
  <c r="D24" i="6"/>
  <c r="D21" i="6"/>
  <c r="D18" i="6"/>
  <c r="D15" i="6"/>
  <c r="D12" i="6"/>
  <c r="C12" i="6"/>
  <c r="C24" i="6"/>
  <c r="C21" i="6"/>
  <c r="C18" i="6"/>
  <c r="C15" i="6"/>
  <c r="B12" i="6"/>
  <c r="B24" i="6"/>
  <c r="B21" i="6"/>
  <c r="B18" i="6"/>
  <c r="B15" i="6"/>
  <c r="M9" i="7"/>
  <c r="L9" i="7"/>
  <c r="K9" i="7"/>
  <c r="J9" i="7"/>
  <c r="I9" i="7"/>
  <c r="H9" i="7"/>
  <c r="G9" i="7"/>
  <c r="F9" i="7"/>
  <c r="E9" i="7"/>
  <c r="D9" i="7"/>
  <c r="C9" i="7"/>
  <c r="B9" i="7"/>
  <c r="M9" i="6"/>
  <c r="L9" i="6"/>
  <c r="K9" i="6"/>
  <c r="J9" i="6"/>
  <c r="I9" i="6"/>
  <c r="H9" i="6"/>
  <c r="G9" i="6"/>
  <c r="F9" i="6"/>
  <c r="E9" i="6"/>
  <c r="D9" i="6"/>
  <c r="C9" i="6"/>
  <c r="B9" i="6"/>
  <c r="M6" i="7"/>
  <c r="L6" i="7"/>
  <c r="K6" i="7"/>
  <c r="J6" i="7"/>
  <c r="I6" i="7"/>
  <c r="H6" i="7"/>
  <c r="G6" i="7"/>
  <c r="F6" i="7"/>
  <c r="E6" i="7"/>
  <c r="D6" i="7"/>
  <c r="C6" i="7"/>
  <c r="B6" i="7"/>
  <c r="M6" i="6"/>
  <c r="L6" i="6"/>
  <c r="K6" i="6"/>
  <c r="J6" i="6"/>
  <c r="I6" i="6"/>
  <c r="H6" i="6"/>
  <c r="G6" i="6"/>
  <c r="F6" i="6"/>
  <c r="E6" i="6"/>
  <c r="D6" i="6"/>
  <c r="C6" i="6"/>
  <c r="B6" i="6"/>
  <c r="M3" i="7"/>
  <c r="L3" i="7"/>
  <c r="K3" i="7"/>
  <c r="J3" i="7"/>
  <c r="I3" i="7"/>
  <c r="H3" i="7"/>
  <c r="G3" i="7"/>
  <c r="F3" i="7"/>
  <c r="E3" i="7"/>
  <c r="D3" i="7"/>
  <c r="C3" i="7"/>
  <c r="B3" i="7"/>
  <c r="M3" i="6"/>
  <c r="L3" i="6"/>
  <c r="K3" i="6"/>
  <c r="J3" i="6"/>
  <c r="I3" i="6"/>
  <c r="H3" i="6"/>
  <c r="G3" i="6"/>
  <c r="F3" i="6"/>
  <c r="E3" i="6"/>
  <c r="D3" i="6"/>
  <c r="C3" i="6"/>
  <c r="B3" i="6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9" i="4"/>
  <c r="C89" i="4"/>
  <c r="B89" i="4"/>
  <c r="D88" i="4"/>
  <c r="C88" i="4"/>
  <c r="B88" i="4"/>
  <c r="D87" i="4"/>
  <c r="C87" i="4"/>
  <c r="B87" i="4"/>
  <c r="D86" i="4"/>
  <c r="C86" i="4"/>
  <c r="B86" i="4"/>
  <c r="D85" i="4"/>
  <c r="C85" i="4"/>
  <c r="B85" i="4"/>
  <c r="D84" i="4"/>
  <c r="C84" i="4"/>
  <c r="B84" i="4"/>
  <c r="D83" i="4"/>
  <c r="C83" i="4"/>
  <c r="B83" i="4"/>
  <c r="D82" i="4"/>
  <c r="C82" i="4"/>
  <c r="B82" i="4"/>
  <c r="D81" i="4"/>
  <c r="C81" i="4"/>
  <c r="B81" i="4"/>
  <c r="D80" i="4"/>
  <c r="C80" i="4"/>
  <c r="B80" i="4"/>
  <c r="D79" i="4"/>
  <c r="C79" i="4"/>
  <c r="B79" i="4"/>
  <c r="D78" i="4"/>
  <c r="C78" i="4"/>
  <c r="B78" i="4"/>
  <c r="D77" i="4"/>
  <c r="C77" i="4"/>
  <c r="B77" i="4"/>
  <c r="D76" i="4"/>
  <c r="C76" i="4"/>
  <c r="B76" i="4"/>
  <c r="D75" i="4"/>
  <c r="C75" i="4"/>
  <c r="B75" i="4"/>
  <c r="D74" i="4"/>
  <c r="C74" i="4"/>
  <c r="B74" i="4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  <c r="L1" i="6"/>
  <c r="L1" i="7"/>
  <c r="M25" i="7" l="1"/>
  <c r="M22" i="7"/>
  <c r="M19" i="7"/>
  <c r="M16" i="7"/>
  <c r="M13" i="7"/>
  <c r="M10" i="7"/>
  <c r="M7" i="7"/>
  <c r="M4" i="7"/>
  <c r="L25" i="7"/>
  <c r="L22" i="7"/>
  <c r="L19" i="7"/>
  <c r="L16" i="7"/>
  <c r="L13" i="7"/>
  <c r="L10" i="7"/>
  <c r="L7" i="7"/>
  <c r="L4" i="7"/>
  <c r="K25" i="7"/>
  <c r="K22" i="7"/>
  <c r="K19" i="7"/>
  <c r="K16" i="7"/>
  <c r="K13" i="7"/>
  <c r="K10" i="7"/>
  <c r="K7" i="7"/>
  <c r="K4" i="7"/>
  <c r="J25" i="7"/>
  <c r="J22" i="7"/>
  <c r="J19" i="7"/>
  <c r="J16" i="7"/>
  <c r="J13" i="7"/>
  <c r="J10" i="7"/>
  <c r="J7" i="7"/>
  <c r="J4" i="7"/>
  <c r="I25" i="7"/>
  <c r="I22" i="7"/>
  <c r="I19" i="7"/>
  <c r="I16" i="7"/>
  <c r="I13" i="7"/>
  <c r="I10" i="7"/>
  <c r="I7" i="7"/>
  <c r="I4" i="7"/>
  <c r="H25" i="7"/>
  <c r="H22" i="7"/>
  <c r="H19" i="7"/>
  <c r="H16" i="7"/>
  <c r="H13" i="7"/>
  <c r="H10" i="7"/>
  <c r="H7" i="7"/>
  <c r="H4" i="7"/>
  <c r="G25" i="7"/>
  <c r="G22" i="7"/>
  <c r="G19" i="7"/>
  <c r="G16" i="7"/>
  <c r="G13" i="7"/>
  <c r="G10" i="7"/>
  <c r="G7" i="7"/>
  <c r="G4" i="7"/>
  <c r="F25" i="7"/>
  <c r="F22" i="7"/>
  <c r="F19" i="7"/>
  <c r="F16" i="7"/>
  <c r="F13" i="7"/>
  <c r="F10" i="7"/>
  <c r="F7" i="7"/>
  <c r="F4" i="7"/>
  <c r="E25" i="7"/>
  <c r="E22" i="7"/>
  <c r="E19" i="7"/>
  <c r="E16" i="7"/>
  <c r="E13" i="7"/>
  <c r="E10" i="7"/>
  <c r="E7" i="7"/>
  <c r="E4" i="7"/>
  <c r="D25" i="7"/>
  <c r="D22" i="7"/>
  <c r="D19" i="7"/>
  <c r="D16" i="7"/>
  <c r="D13" i="7"/>
  <c r="D10" i="7"/>
  <c r="D7" i="7"/>
  <c r="D4" i="7"/>
  <c r="C25" i="7"/>
  <c r="C22" i="7"/>
  <c r="C19" i="7"/>
  <c r="C16" i="7"/>
  <c r="C13" i="7"/>
  <c r="C10" i="7"/>
  <c r="C11" i="7"/>
  <c r="C7" i="7"/>
  <c r="C8" i="7"/>
  <c r="C4" i="7"/>
  <c r="C5" i="7"/>
  <c r="B25" i="7"/>
  <c r="B26" i="7"/>
  <c r="B22" i="7"/>
  <c r="B23" i="7"/>
  <c r="B19" i="7"/>
  <c r="B20" i="7"/>
  <c r="B16" i="7"/>
  <c r="B17" i="7"/>
  <c r="B13" i="7"/>
  <c r="B14" i="7"/>
  <c r="B10" i="7"/>
  <c r="B11" i="7"/>
  <c r="B7" i="7"/>
  <c r="B8" i="7"/>
  <c r="B4" i="7"/>
  <c r="B5" i="7"/>
  <c r="M26" i="7" l="1"/>
  <c r="M23" i="7"/>
  <c r="M20" i="7"/>
  <c r="M17" i="7"/>
  <c r="M14" i="7"/>
  <c r="M11" i="7"/>
  <c r="M8" i="7"/>
  <c r="M5" i="7"/>
  <c r="L26" i="7"/>
  <c r="L23" i="7"/>
  <c r="L20" i="7"/>
  <c r="L17" i="7"/>
  <c r="L14" i="7"/>
  <c r="L11" i="7"/>
  <c r="L8" i="7"/>
  <c r="L5" i="7"/>
  <c r="K26" i="7"/>
  <c r="K23" i="7"/>
  <c r="K20" i="7"/>
  <c r="K17" i="7"/>
  <c r="K14" i="7"/>
  <c r="K11" i="7"/>
  <c r="K8" i="7"/>
  <c r="K5" i="7"/>
  <c r="J26" i="7"/>
  <c r="J23" i="7"/>
  <c r="J20" i="7"/>
  <c r="J17" i="7"/>
  <c r="J14" i="7"/>
  <c r="J11" i="7"/>
  <c r="J8" i="7"/>
  <c r="J5" i="7"/>
  <c r="I26" i="7"/>
  <c r="I23" i="7"/>
  <c r="I20" i="7"/>
  <c r="I17" i="7"/>
  <c r="I14" i="7"/>
  <c r="I11" i="7"/>
  <c r="I8" i="7"/>
  <c r="I5" i="7"/>
  <c r="H26" i="7"/>
  <c r="H23" i="7"/>
  <c r="H20" i="7"/>
  <c r="H17" i="7"/>
  <c r="H14" i="7"/>
  <c r="H11" i="7"/>
  <c r="H8" i="7"/>
  <c r="H5" i="7"/>
  <c r="G26" i="7"/>
  <c r="G23" i="7"/>
  <c r="G20" i="7"/>
  <c r="G17" i="7"/>
  <c r="G14" i="7"/>
  <c r="G11" i="7"/>
  <c r="G8" i="7"/>
  <c r="G5" i="7"/>
  <c r="F26" i="7"/>
  <c r="F23" i="7"/>
  <c r="F20" i="7"/>
  <c r="F17" i="7"/>
  <c r="F14" i="7"/>
  <c r="F11" i="7"/>
  <c r="F8" i="7"/>
  <c r="F5" i="7"/>
  <c r="E26" i="7"/>
  <c r="E23" i="7"/>
  <c r="E20" i="7"/>
  <c r="E17" i="7"/>
  <c r="E14" i="7"/>
  <c r="E11" i="7"/>
  <c r="E8" i="7"/>
  <c r="E5" i="7"/>
  <c r="D26" i="7"/>
  <c r="D23" i="7"/>
  <c r="D20" i="7"/>
  <c r="D17" i="7"/>
  <c r="D14" i="7"/>
  <c r="D11" i="7"/>
  <c r="D8" i="7"/>
  <c r="D5" i="7"/>
  <c r="C26" i="7"/>
  <c r="C23" i="7"/>
  <c r="C20" i="7"/>
  <c r="C17" i="7"/>
  <c r="C14" i="7"/>
  <c r="B20" i="6"/>
  <c r="E28" i="7" l="1"/>
  <c r="G1" i="7"/>
  <c r="G1" i="6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6" i="3"/>
  <c r="B43" i="3"/>
  <c r="M25" i="6" l="1"/>
  <c r="M26" i="6"/>
  <c r="M22" i="6"/>
  <c r="M23" i="6"/>
  <c r="M19" i="6"/>
  <c r="M20" i="6"/>
  <c r="M16" i="6"/>
  <c r="M17" i="6"/>
  <c r="M13" i="6"/>
  <c r="M14" i="6"/>
  <c r="M10" i="6"/>
  <c r="M11" i="6"/>
  <c r="M7" i="6"/>
  <c r="M8" i="6"/>
  <c r="M4" i="6"/>
  <c r="M5" i="6"/>
  <c r="L25" i="6"/>
  <c r="L26" i="6"/>
  <c r="L22" i="6"/>
  <c r="L23" i="6"/>
  <c r="L19" i="6"/>
  <c r="L20" i="6"/>
  <c r="L16" i="6"/>
  <c r="L17" i="6"/>
  <c r="L13" i="6"/>
  <c r="L14" i="6"/>
  <c r="L10" i="6"/>
  <c r="L11" i="6"/>
  <c r="L7" i="6"/>
  <c r="L8" i="6"/>
  <c r="L4" i="6"/>
  <c r="L5" i="6"/>
  <c r="K25" i="6"/>
  <c r="K26" i="6"/>
  <c r="K22" i="6"/>
  <c r="K23" i="6"/>
  <c r="K19" i="6"/>
  <c r="K20" i="6"/>
  <c r="K16" i="6"/>
  <c r="K17" i="6"/>
  <c r="K13" i="6"/>
  <c r="K14" i="6"/>
  <c r="K10" i="6"/>
  <c r="K11" i="6"/>
  <c r="K7" i="6"/>
  <c r="K8" i="6"/>
  <c r="K4" i="6"/>
  <c r="K5" i="6"/>
  <c r="J25" i="6"/>
  <c r="J26" i="6"/>
  <c r="J22" i="6"/>
  <c r="J23" i="6"/>
  <c r="J19" i="6"/>
  <c r="J20" i="6"/>
  <c r="J16" i="6"/>
  <c r="J17" i="6"/>
  <c r="J13" i="6"/>
  <c r="J14" i="6"/>
  <c r="J10" i="6"/>
  <c r="J11" i="6"/>
  <c r="J7" i="6"/>
  <c r="J8" i="6"/>
  <c r="J4" i="6"/>
  <c r="J5" i="6"/>
  <c r="I25" i="6"/>
  <c r="I26" i="6"/>
  <c r="I22" i="6"/>
  <c r="I23" i="6"/>
  <c r="I19" i="6"/>
  <c r="I20" i="6"/>
  <c r="I16" i="6"/>
  <c r="I17" i="6"/>
  <c r="I13" i="6"/>
  <c r="I14" i="6"/>
  <c r="I10" i="6"/>
  <c r="I11" i="6"/>
  <c r="I7" i="6"/>
  <c r="I8" i="6"/>
  <c r="I4" i="6"/>
  <c r="I5" i="6"/>
  <c r="H25" i="6"/>
  <c r="H26" i="6"/>
  <c r="H22" i="6"/>
  <c r="H23" i="6"/>
  <c r="H19" i="6"/>
  <c r="H20" i="6"/>
  <c r="H16" i="6"/>
  <c r="H17" i="6"/>
  <c r="H13" i="6"/>
  <c r="H14" i="6"/>
  <c r="H10" i="6"/>
  <c r="H11" i="6"/>
  <c r="H7" i="6"/>
  <c r="H8" i="6"/>
  <c r="H4" i="6"/>
  <c r="H5" i="6"/>
  <c r="G25" i="6"/>
  <c r="G26" i="6"/>
  <c r="G22" i="6"/>
  <c r="G23" i="6"/>
  <c r="G19" i="6"/>
  <c r="G20" i="6"/>
  <c r="G16" i="6"/>
  <c r="G17" i="6"/>
  <c r="G13" i="6"/>
  <c r="G14" i="6"/>
  <c r="G10" i="6"/>
  <c r="G11" i="6"/>
  <c r="G7" i="6"/>
  <c r="G8" i="6"/>
  <c r="G4" i="6"/>
  <c r="G5" i="6"/>
  <c r="F25" i="6"/>
  <c r="F26" i="6"/>
  <c r="F22" i="6"/>
  <c r="F23" i="6"/>
  <c r="F19" i="6"/>
  <c r="F20" i="6"/>
  <c r="F16" i="6"/>
  <c r="F17" i="6"/>
  <c r="F13" i="6"/>
  <c r="F14" i="6"/>
  <c r="F10" i="6"/>
  <c r="F11" i="6"/>
  <c r="F7" i="6"/>
  <c r="F8" i="6"/>
  <c r="F4" i="6"/>
  <c r="F5" i="6"/>
  <c r="E25" i="6"/>
  <c r="E26" i="6"/>
  <c r="E22" i="6"/>
  <c r="E23" i="6"/>
  <c r="E19" i="6"/>
  <c r="E20" i="6"/>
  <c r="E16" i="6"/>
  <c r="E17" i="6"/>
  <c r="E13" i="6"/>
  <c r="E14" i="6"/>
  <c r="E10" i="6"/>
  <c r="E11" i="6"/>
  <c r="E7" i="6"/>
  <c r="E8" i="6"/>
  <c r="E4" i="6"/>
  <c r="E5" i="6"/>
  <c r="D25" i="6"/>
  <c r="D26" i="6"/>
  <c r="D22" i="6"/>
  <c r="D23" i="6"/>
  <c r="D19" i="6"/>
  <c r="D20" i="6"/>
  <c r="D16" i="6"/>
  <c r="D17" i="6"/>
  <c r="D13" i="6"/>
  <c r="D14" i="6"/>
  <c r="D10" i="6"/>
  <c r="D11" i="6"/>
  <c r="D7" i="6"/>
  <c r="D8" i="6"/>
  <c r="D4" i="6"/>
  <c r="D5" i="6"/>
  <c r="C25" i="6"/>
  <c r="C26" i="6"/>
  <c r="C22" i="6"/>
  <c r="C23" i="6"/>
  <c r="C19" i="6"/>
  <c r="C20" i="6"/>
  <c r="C16" i="6"/>
  <c r="C17" i="6"/>
  <c r="C13" i="6"/>
  <c r="C14" i="6"/>
  <c r="C10" i="6"/>
  <c r="C11" i="6"/>
  <c r="C7" i="6"/>
  <c r="C8" i="6"/>
  <c r="C4" i="6"/>
  <c r="C5" i="6"/>
  <c r="B25" i="6"/>
  <c r="B26" i="6"/>
  <c r="B22" i="6"/>
  <c r="B23" i="6"/>
  <c r="B19" i="6"/>
  <c r="B16" i="6"/>
  <c r="B17" i="6"/>
  <c r="B13" i="6"/>
  <c r="B14" i="6"/>
  <c r="B10" i="6"/>
  <c r="B11" i="6"/>
  <c r="B7" i="6"/>
  <c r="B8" i="6"/>
  <c r="B4" i="6"/>
  <c r="B5" i="6"/>
  <c r="E28" i="6"/>
  <c r="B2" i="3" l="1"/>
  <c r="A2" i="3" s="1"/>
  <c r="C2" i="3" l="1"/>
</calcChain>
</file>

<file path=xl/sharedStrings.xml><?xml version="1.0" encoding="utf-8"?>
<sst xmlns="http://schemas.openxmlformats.org/spreadsheetml/2006/main" count="652" uniqueCount="147">
  <si>
    <t>A10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</si>
  <si>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</si>
  <si>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</si>
  <si>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</si>
  <si>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</si>
  <si>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</si>
  <si>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</si>
  <si>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</si>
  <si>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</si>
  <si>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</si>
  <si>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</si>
  <si>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</si>
  <si>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</si>
  <si>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</si>
  <si>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</si>
  <si>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</si>
  <si>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</si>
  <si>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</si>
  <si>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</si>
  <si>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</si>
  <si>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</si>
  <si>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H10</t>
  </si>
  <si>
    <t>H11</t>
  </si>
  <si>
    <t>H12</t>
  </si>
  <si>
    <t>-</t>
  </si>
  <si>
    <t>A</t>
  </si>
  <si>
    <t>D</t>
  </si>
  <si>
    <t>E</t>
  </si>
  <si>
    <t>F</t>
  </si>
  <si>
    <t>G</t>
  </si>
  <si>
    <t>B</t>
  </si>
  <si>
    <t>C</t>
  </si>
  <si>
    <t>H</t>
  </si>
  <si>
    <t>Primer</t>
  </si>
  <si>
    <t>DNA</t>
  </si>
  <si>
    <t>Date:</t>
  </si>
  <si>
    <t>Notes:</t>
  </si>
  <si>
    <t>Description</t>
  </si>
  <si>
    <t>ContainerType</t>
  </si>
  <si>
    <t>AppType</t>
  </si>
  <si>
    <t>Owner</t>
  </si>
  <si>
    <t>Operator</t>
  </si>
  <si>
    <t>PlateSealing</t>
  </si>
  <si>
    <t>SchedulingPref</t>
  </si>
  <si>
    <t>96-Well</t>
  </si>
  <si>
    <t>Regular</t>
  </si>
  <si>
    <t>MZ</t>
  </si>
  <si>
    <t>Septa</t>
  </si>
  <si>
    <t>AppServer</t>
  </si>
  <si>
    <t>AppInstance</t>
  </si>
  <si>
    <t>SequencingAnalysis</t>
  </si>
  <si>
    <t>Well</t>
  </si>
  <si>
    <t>Comment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</si>
  <si>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</si>
  <si>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</si>
  <si>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</si>
  <si>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</si>
  <si>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</si>
  <si>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</si>
  <si>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</si>
  <si>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</si>
  <si>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</si>
  <si>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</si>
  <si>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</si>
  <si>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</si>
  <si>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</si>
  <si>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</si>
  <si>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</si>
  <si>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</si>
  <si>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</si>
  <si>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</si>
  <si>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</si>
  <si>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</si>
  <si>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</si>
  <si>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</si>
  <si>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</si>
  <si>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</si>
  <si>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</si>
  <si>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</si>
  <si>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</si>
  <si>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</si>
  <si>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</si>
  <si>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</si>
  <si>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</si>
  <si>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</si>
  <si>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</si>
  <si>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</si>
  <si>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</si>
  <si>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</si>
  <si>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</si>
  <si>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</si>
  <si>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</si>
  <si>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</si>
  <si>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</si>
  <si>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</si>
  <si>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</si>
  <si>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</si>
  <si>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</si>
  <si>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</si>
  <si>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</si>
  <si>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</si>
  <si>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</si>
  <si>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</si>
  <si>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</si>
  <si>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</si>
  <si>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</si>
  <si>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</si>
  <si>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</si>
  <si>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</si>
  <si>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</si>
  <si>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</si>
  <si>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</si>
  <si>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</si>
  <si>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</si>
  <si>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</si>
  <si>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</si>
  <si>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</si>
  <si>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</si>
  <si>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</si>
  <si>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</si>
  <si>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</si>
  <si>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</si>
  <si>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</si>
  <si>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</si>
  <si>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</si>
  <si>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Untitled_Results_Group</t>
  </si>
  <si>
    <t>08_18_08_BDV3.1_1</t>
  </si>
  <si>
    <t>3730BDTv3-KB-DeNovo_v5.2</t>
  </si>
  <si>
    <t>FileName</t>
  </si>
  <si>
    <t>DNA_Sequencing_Sample_Record</t>
  </si>
  <si>
    <t>Plate_Name:</t>
  </si>
  <si>
    <t>Sample Name</t>
  </si>
  <si>
    <t>Results Group 1</t>
  </si>
  <si>
    <t>Instrument Protocol 1</t>
  </si>
  <si>
    <t>Analysis Protocol 1</t>
  </si>
  <si>
    <t>Container Name</t>
  </si>
  <si>
    <t>Plate ID</t>
  </si>
  <si>
    <t>Sample_number:</t>
  </si>
  <si>
    <t>PCR_Machine_#:</t>
  </si>
  <si>
    <t>PCR_Start</t>
  </si>
  <si>
    <t>Run_#</t>
  </si>
  <si>
    <t>Conc:</t>
  </si>
  <si>
    <t>Size:</t>
  </si>
  <si>
    <t>PM</t>
  </si>
  <si>
    <t>Protocol_#</t>
  </si>
  <si>
    <t>RS</t>
  </si>
  <si>
    <t>WO#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</si>
</sst>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* #,##0.00_-;\-&quot;$&quot;* #,##0.00_-;_-&quot;$&quot;* &quot;-&quot;??_-;_-@_-"/>
    <numFmt numFmtId="164" formatCode="mm&quot;_&quot;dd&quot;_&quot;yy"/>
    <numFmt numFmtId="165" formatCode="[$-409]d\-mmm\-yy;@"/>
    <numFmt numFmtId="166" formatCode="000000"/>
    <numFmt numFmtId="167" formatCode="[$-409]d/mmm/yy;@"/>
    <numFmt numFmtId="168" formatCode="[$-1009]d\-mmm\-yy;@"/>
    <numFmt numFmtId="169" formatCode="_-&quot;S/&quot;\ * #,##0.00_-;\-&quot;S/&quot;\ * #,##0.00_-;_-&quot;S/&quot;\ * &quot;-&quot;??_-;_-@_-"/>
  </numFmts>
  <fonts count="40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  <font>
      <sz val="8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indexed="14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2"/>
      <color indexed="12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charset val="134"/>
      <scheme val="minor"/>
    </font>
    <font>
      <u/>
      <sz val="10"/>
      <color rgb="FF0000FF"/>
      <name val="Arial"/>
      <family val="2"/>
    </font>
    <font>
      <sz val="11"/>
      <color theme="1"/>
      <name val="Calibri"/>
      <charset val="134"/>
      <scheme val="minor"/>
    </font>
    <font>
      <sz val="10"/>
      <color rgb="FF000000"/>
      <name val="Arial"/>
      <family val="2"/>
    </font>
    <font>
      <sz val="12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8"/>
      <name val="Arial"/>
      <family val="2"/>
    </font>
    <font>
      <b/>
      <sz val="18"/>
      <name val="Times New Roman"/>
      <family val="1"/>
    </font>
    <font>
      <b/>
      <sz val="20"/>
      <name val="Arial"/>
      <family val="2"/>
    </font>
    <font>
      <sz val="20"/>
      <name val="Arial"/>
      <family val="2"/>
    </font>
    <font>
      <b/>
      <sz val="14"/>
      <name val="Calibri"/>
      <family val="2"/>
    </font>
    <font>
      <b/>
      <sz val="14"/>
      <name val="Arial"/>
      <family val="2"/>
    </font>
    <font>
      <b/>
      <sz val="16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1">
    <xf numFmtId="0" fontId="0" fillId="0" borderId="0">
      <alignment vertical="center"/>
    </xf>
    <xf numFmtId="0" fontId="8" fillId="2" borderId="0" applyNumberFormat="0" applyBorder="0" applyAlignment="0" applyProtection="0"/>
    <xf numFmtId="4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167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5" fillId="0" borderId="0" applyBorder="0" applyProtection="0"/>
    <xf numFmtId="0" fontId="23" fillId="0" borderId="0" applyNumberFormat="0" applyFill="0" applyBorder="0" applyAlignment="0" applyProtection="0">
      <alignment vertical="top"/>
      <protection locked="0"/>
    </xf>
    <xf numFmtId="169" fontId="26" fillId="0" borderId="0" applyFont="0" applyFill="0" applyBorder="0" applyAlignment="0" applyProtection="0"/>
    <xf numFmtId="0" fontId="21" fillId="0" borderId="0">
      <alignment vertical="center"/>
    </xf>
    <xf numFmtId="0" fontId="27" fillId="0" borderId="0"/>
    <xf numFmtId="0" fontId="17" fillId="0" borderId="0"/>
    <xf numFmtId="0" fontId="19" fillId="0" borderId="0"/>
    <xf numFmtId="0" fontId="5" fillId="0" borderId="0"/>
    <xf numFmtId="0" fontId="5" fillId="0" borderId="0"/>
    <xf numFmtId="0" fontId="20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21" fillId="0" borderId="0"/>
    <xf numFmtId="0" fontId="21" fillId="0" borderId="0">
      <alignment vertical="center"/>
    </xf>
    <xf numFmtId="0" fontId="11" fillId="0" borderId="0"/>
    <xf numFmtId="0" fontId="5" fillId="0" borderId="0"/>
    <xf numFmtId="0" fontId="28" fillId="0" borderId="0"/>
    <xf numFmtId="0" fontId="21" fillId="0" borderId="0"/>
    <xf numFmtId="0" fontId="13" fillId="0" borderId="0"/>
    <xf numFmtId="0" fontId="5" fillId="0" borderId="0"/>
    <xf numFmtId="0" fontId="27" fillId="0" borderId="0"/>
    <xf numFmtId="167" fontId="21" fillId="0" borderId="0"/>
    <xf numFmtId="0" fontId="27" fillId="0" borderId="0"/>
    <xf numFmtId="0" fontId="15" fillId="0" borderId="0"/>
    <xf numFmtId="0" fontId="5" fillId="0" borderId="0"/>
    <xf numFmtId="0" fontId="21" fillId="0" borderId="0"/>
    <xf numFmtId="0" fontId="9" fillId="0" borderId="0"/>
    <xf numFmtId="0" fontId="16" fillId="0" borderId="0" applyBorder="0"/>
    <xf numFmtId="0" fontId="16" fillId="0" borderId="0" applyBorder="0"/>
    <xf numFmtId="0" fontId="16" fillId="0" borderId="0" applyBorder="0"/>
  </cellStyleXfs>
  <cellXfs count="79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164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20" fontId="7" fillId="0" borderId="0" xfId="0" applyNumberFormat="1" applyFont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166" fontId="7" fillId="0" borderId="9" xfId="0" applyNumberFormat="1" applyFont="1" applyBorder="1" applyAlignment="1">
      <alignment horizontal="center" vertical="center"/>
    </xf>
    <xf numFmtId="166" fontId="7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11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3" xfId="0" applyFont="1" applyBorder="1" applyAlignment="1">
      <alignment horizontal="center"/>
    </xf>
    <xf numFmtId="0" fontId="34" fillId="3" borderId="7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2" fillId="3" borderId="15" xfId="0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29" fillId="4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shrinkToFit="1"/>
    </xf>
    <xf numFmtId="0" fontId="30" fillId="0" borderId="6" xfId="0" applyFont="1" applyBorder="1" applyAlignment="1">
      <alignment horizontal="center" vertical="center" shrinkToFit="1"/>
    </xf>
    <xf numFmtId="0" fontId="30" fillId="0" borderId="5" xfId="0" applyFont="1" applyBorder="1" applyAlignment="1">
      <alignment horizontal="center" vertical="center" shrinkToFit="1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168" fontId="31" fillId="0" borderId="1" xfId="0" applyNumberFormat="1" applyFont="1" applyBorder="1">
      <alignment vertical="center"/>
    </xf>
    <xf numFmtId="168" fontId="31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9" fillId="0" borderId="16" xfId="37" applyFont="1" applyBorder="1" applyAlignment="1">
      <alignment horizontal="center" vertical="center"/>
    </xf>
    <xf numFmtId="0" fontId="39" fillId="0" borderId="17" xfId="37" applyFont="1" applyBorder="1" applyAlignment="1">
      <alignment horizontal="center" vertical="center"/>
    </xf>
    <xf numFmtId="0" fontId="39" fillId="0" borderId="18" xfId="37" applyFont="1" applyBorder="1" applyAlignment="1">
      <alignment horizontal="center" vertical="center"/>
    </xf>
    <xf numFmtId="0" fontId="39" fillId="0" borderId="19" xfId="37" applyFont="1" applyBorder="1" applyAlignment="1">
      <alignment horizontal="center" vertical="center"/>
    </xf>
    <xf numFmtId="0" fontId="39" fillId="0" borderId="0" xfId="37" applyFont="1" applyAlignment="1">
      <alignment horizontal="center" vertical="center"/>
    </xf>
    <xf numFmtId="0" fontId="39" fillId="0" borderId="8" xfId="37" applyFont="1" applyBorder="1" applyAlignment="1">
      <alignment horizontal="center" vertical="center"/>
    </xf>
    <xf numFmtId="0" fontId="9" fillId="0" borderId="0" xfId="37" applyAlignment="1">
      <alignment horizontal="center" vertical="center"/>
    </xf>
    <xf numFmtId="0" fontId="9" fillId="0" borderId="8" xfId="37" applyBorder="1" applyAlignment="1">
      <alignment horizontal="center" vertical="center"/>
    </xf>
    <xf numFmtId="0" fontId="39" fillId="0" borderId="20" xfId="37" applyFont="1" applyBorder="1" applyAlignment="1">
      <alignment horizontal="center" vertical="center"/>
    </xf>
    <xf numFmtId="0" fontId="39" fillId="0" borderId="9" xfId="37" applyFont="1" applyBorder="1" applyAlignment="1">
      <alignment horizontal="center" vertical="center"/>
    </xf>
    <xf numFmtId="0" fontId="9" fillId="0" borderId="9" xfId="37" applyBorder="1" applyAlignment="1">
      <alignment horizontal="center" vertical="center"/>
    </xf>
    <xf numFmtId="0" fontId="9" fillId="0" borderId="10" xfId="37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9" fillId="3" borderId="16" xfId="37" applyFont="1" applyFill="1" applyBorder="1" applyAlignment="1">
      <alignment horizontal="center" vertical="center"/>
    </xf>
    <xf numFmtId="0" fontId="39" fillId="3" borderId="17" xfId="37" applyFont="1" applyFill="1" applyBorder="1" applyAlignment="1">
      <alignment horizontal="center" vertical="center"/>
    </xf>
    <xf numFmtId="0" fontId="39" fillId="3" borderId="18" xfId="37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166" fontId="31" fillId="0" borderId="16" xfId="0" applyNumberFormat="1" applyFont="1" applyBorder="1" applyAlignment="1">
      <alignment horizontal="center" vertical="center"/>
    </xf>
    <xf numFmtId="166" fontId="7" fillId="0" borderId="17" xfId="0" applyNumberFormat="1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166" fontId="31" fillId="0" borderId="19" xfId="0" applyNumberFormat="1" applyFont="1" applyBorder="1" applyAlignment="1">
      <alignment horizontal="center" vertical="center"/>
    </xf>
    <xf numFmtId="166" fontId="31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7" fillId="5" borderId="1" xfId="37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 shrinkToFit="1"/>
    </xf>
    <xf numFmtId="0" fontId="6" fillId="4" borderId="5" xfId="0" applyFont="1" applyFill="1" applyBorder="1" applyAlignment="1">
      <alignment horizontal="center" vertical="center" shrinkToFit="1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49" fontId="32" fillId="3" borderId="14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</cellXfs>
  <cellStyles count="41">
    <cellStyle name="Bad" xfId="1" builtinId="27" customBuiltin="1"/>
    <cellStyle name="Currency 2" xfId="2"/>
    <cellStyle name="Hyperlink 2" xfId="3"/>
    <cellStyle name="Hyperlink 3" xfId="4"/>
    <cellStyle name="Hyperlink 4" xfId="5"/>
    <cellStyle name="Hyperlink 5" xfId="6"/>
    <cellStyle name="Hyperlink 6" xfId="7"/>
    <cellStyle name="Hyperlink 7" xfId="8"/>
    <cellStyle name="Hyperlink 8" xfId="9"/>
    <cellStyle name="Hyperlink 9" xfId="10"/>
    <cellStyle name="Moneda 2" xfId="11"/>
    <cellStyle name="Normal" xfId="0" builtinId="0"/>
    <cellStyle name="Normal 10" xfId="12"/>
    <cellStyle name="Normal 11" xfId="13"/>
    <cellStyle name="Normal 12" xfId="14"/>
    <cellStyle name="Normal 13" xfId="15"/>
    <cellStyle name="Normal 13 2" xfId="16"/>
    <cellStyle name="Normal 13 3" xfId="17"/>
    <cellStyle name="Normal 17" xfId="18"/>
    <cellStyle name="Normal 18" xfId="19"/>
    <cellStyle name="Normal 19" xfId="20"/>
    <cellStyle name="Normal 2" xfId="21"/>
    <cellStyle name="Normal 2 2" xfId="22"/>
    <cellStyle name="Normal 2 3" xfId="23"/>
    <cellStyle name="Normal 2 4" xfId="24"/>
    <cellStyle name="Normal 3" xfId="25"/>
    <cellStyle name="Normal 3 2" xfId="26"/>
    <cellStyle name="Normal 3 2 2" xfId="27"/>
    <cellStyle name="Normal 3 3" xfId="28"/>
    <cellStyle name="Normal 4" xfId="29"/>
    <cellStyle name="Normal 4 2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_FileNames" xfId="37"/>
    <cellStyle name="常规 2" xfId="38"/>
    <cellStyle name="常规 2 2" xfId="39"/>
    <cellStyle name="常规 3" xfId="40"/>
  </cellStyles>
  <dxfs count="4"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quencing_order_form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 form"/>
      <sheetName val="Sequencing_order_form_v3"/>
    </sheetNames>
    <sheetDataSet>
      <sheetData sheetId="0" refreshError="1">
        <row r="20">
          <cell r="A20" t="str">
            <v>A01</v>
          </cell>
          <cell r="B20" t="str">
            <v>Plasmid</v>
          </cell>
          <cell r="C20">
            <v>0</v>
          </cell>
          <cell r="D20">
            <v>0</v>
          </cell>
          <cell r="E20">
            <v>0</v>
          </cell>
          <cell r="F20" t="str">
            <v>~40</v>
          </cell>
          <cell r="G20">
            <v>0</v>
          </cell>
          <cell r="H20">
            <v>0</v>
          </cell>
          <cell r="I20" t="str">
            <v>(#A1)</v>
          </cell>
          <cell r="J20" t="str">
            <v xml:space="preserve"> (#A1)</v>
          </cell>
          <cell r="K20">
            <v>0</v>
          </cell>
          <cell r="L20" t="str">
            <v>._.._.._.</v>
          </cell>
        </row>
        <row r="21">
          <cell r="A21">
            <v>0</v>
          </cell>
          <cell r="B21" t="str">
            <v>Plasmid</v>
          </cell>
          <cell r="C21">
            <v>0</v>
          </cell>
          <cell r="D21">
            <v>0</v>
          </cell>
          <cell r="E21">
            <v>0</v>
          </cell>
          <cell r="F21" t="str">
            <v>~40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A22">
            <v>0</v>
          </cell>
          <cell r="B22" t="str">
            <v>Plasmid</v>
          </cell>
          <cell r="C22">
            <v>0</v>
          </cell>
          <cell r="D22">
            <v>0</v>
          </cell>
          <cell r="E22">
            <v>0</v>
          </cell>
          <cell r="F22" t="str">
            <v>~40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>
            <v>0</v>
          </cell>
          <cell r="B23" t="str">
            <v>Plasmid</v>
          </cell>
          <cell r="C23">
            <v>0</v>
          </cell>
          <cell r="D23">
            <v>0</v>
          </cell>
          <cell r="E23">
            <v>0</v>
          </cell>
          <cell r="F23" t="str">
            <v>~40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>
            <v>0</v>
          </cell>
          <cell r="B24" t="str">
            <v>Plasmid</v>
          </cell>
          <cell r="C24">
            <v>0</v>
          </cell>
          <cell r="D24">
            <v>0</v>
          </cell>
          <cell r="E24">
            <v>0</v>
          </cell>
          <cell r="F24" t="str">
            <v>~40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>
            <v>0</v>
          </cell>
          <cell r="B25" t="str">
            <v>Plasmid</v>
          </cell>
          <cell r="C25">
            <v>0</v>
          </cell>
          <cell r="D25">
            <v>0</v>
          </cell>
          <cell r="E25">
            <v>0</v>
          </cell>
          <cell r="F25" t="str">
            <v>~40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>
            <v>0</v>
          </cell>
          <cell r="B26" t="str">
            <v>Plasmid</v>
          </cell>
          <cell r="C26">
            <v>0</v>
          </cell>
          <cell r="D26">
            <v>0</v>
          </cell>
          <cell r="E26">
            <v>0</v>
          </cell>
          <cell r="F26" t="str">
            <v>~40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0</v>
          </cell>
          <cell r="B27" t="str">
            <v>Plasmid</v>
          </cell>
          <cell r="C27">
            <v>0</v>
          </cell>
          <cell r="D27">
            <v>0</v>
          </cell>
          <cell r="E27">
            <v>0</v>
          </cell>
          <cell r="F27" t="str">
            <v>~40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>
            <v>0</v>
          </cell>
          <cell r="B28" t="str">
            <v>Plasmid</v>
          </cell>
          <cell r="C28">
            <v>0</v>
          </cell>
          <cell r="D28">
            <v>0</v>
          </cell>
          <cell r="E28">
            <v>0</v>
          </cell>
          <cell r="F28" t="str">
            <v>~40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>
            <v>0</v>
          </cell>
          <cell r="B29" t="str">
            <v>Plasmid</v>
          </cell>
          <cell r="C29">
            <v>0</v>
          </cell>
          <cell r="D29">
            <v>0</v>
          </cell>
          <cell r="E29">
            <v>0</v>
          </cell>
          <cell r="F29" t="str">
            <v>~40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>
            <v>0</v>
          </cell>
          <cell r="B30" t="str">
            <v>Plasmid</v>
          </cell>
          <cell r="C30">
            <v>0</v>
          </cell>
          <cell r="D30">
            <v>0</v>
          </cell>
          <cell r="E30">
            <v>0</v>
          </cell>
          <cell r="F30" t="str">
            <v>~40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>
            <v>0</v>
          </cell>
          <cell r="B31" t="str">
            <v>Plasmid</v>
          </cell>
          <cell r="C31">
            <v>0</v>
          </cell>
          <cell r="D31">
            <v>0</v>
          </cell>
          <cell r="E31">
            <v>0</v>
          </cell>
          <cell r="F31" t="str">
            <v>~40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>
            <v>0</v>
          </cell>
          <cell r="B32" t="str">
            <v>Plasmid</v>
          </cell>
          <cell r="C32">
            <v>0</v>
          </cell>
          <cell r="D32">
            <v>0</v>
          </cell>
          <cell r="E32">
            <v>0</v>
          </cell>
          <cell r="F32" t="str">
            <v>~40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>
            <v>0</v>
          </cell>
          <cell r="B33" t="str">
            <v>Plasmid</v>
          </cell>
          <cell r="C33">
            <v>0</v>
          </cell>
          <cell r="D33">
            <v>0</v>
          </cell>
          <cell r="E33">
            <v>0</v>
          </cell>
          <cell r="F33" t="str">
            <v>~40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>
            <v>0</v>
          </cell>
          <cell r="B34" t="str">
            <v>Plasmid</v>
          </cell>
          <cell r="C34">
            <v>0</v>
          </cell>
          <cell r="D34">
            <v>0</v>
          </cell>
          <cell r="E34">
            <v>0</v>
          </cell>
          <cell r="F34" t="str">
            <v>~40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>
            <v>0</v>
          </cell>
          <cell r="B35" t="str">
            <v>Plasmid</v>
          </cell>
          <cell r="C35">
            <v>0</v>
          </cell>
          <cell r="D35">
            <v>0</v>
          </cell>
          <cell r="E35">
            <v>0</v>
          </cell>
          <cell r="F35" t="str">
            <v>~40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>
            <v>0</v>
          </cell>
          <cell r="B36" t="str">
            <v>Plasmid</v>
          </cell>
          <cell r="C36">
            <v>0</v>
          </cell>
          <cell r="D36">
            <v>0</v>
          </cell>
          <cell r="E36">
            <v>0</v>
          </cell>
          <cell r="F36" t="str">
            <v>~40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>
            <v>0</v>
          </cell>
          <cell r="B37" t="str">
            <v>Plasmid</v>
          </cell>
          <cell r="C37">
            <v>0</v>
          </cell>
          <cell r="D37">
            <v>0</v>
          </cell>
          <cell r="E37">
            <v>0</v>
          </cell>
          <cell r="F37" t="str">
            <v>~40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>
            <v>0</v>
          </cell>
          <cell r="B38" t="str">
            <v>Plasmid</v>
          </cell>
          <cell r="C38">
            <v>0</v>
          </cell>
          <cell r="D38">
            <v>0</v>
          </cell>
          <cell r="E38">
            <v>0</v>
          </cell>
          <cell r="F38" t="str">
            <v>~40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>
            <v>0</v>
          </cell>
          <cell r="B39" t="str">
            <v>Plasmid</v>
          </cell>
          <cell r="C39">
            <v>0</v>
          </cell>
          <cell r="D39">
            <v>0</v>
          </cell>
          <cell r="E39">
            <v>0</v>
          </cell>
          <cell r="F39" t="str">
            <v>~40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>
            <v>0</v>
          </cell>
          <cell r="B40" t="str">
            <v>Plasmid</v>
          </cell>
          <cell r="C40">
            <v>0</v>
          </cell>
          <cell r="D40">
            <v>0</v>
          </cell>
          <cell r="E40">
            <v>0</v>
          </cell>
          <cell r="F40" t="str">
            <v>~40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>
            <v>0</v>
          </cell>
          <cell r="B41" t="str">
            <v>Plasmid</v>
          </cell>
          <cell r="C41">
            <v>0</v>
          </cell>
          <cell r="D41">
            <v>0</v>
          </cell>
          <cell r="E41">
            <v>0</v>
          </cell>
          <cell r="F41" t="str">
            <v>~40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>
            <v>0</v>
          </cell>
          <cell r="B42" t="str">
            <v>Plasmid</v>
          </cell>
          <cell r="C42">
            <v>0</v>
          </cell>
          <cell r="D42">
            <v>0</v>
          </cell>
          <cell r="E42">
            <v>0</v>
          </cell>
          <cell r="F42" t="str">
            <v>~40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>
            <v>0</v>
          </cell>
          <cell r="B43" t="str">
            <v>Plasmid</v>
          </cell>
          <cell r="C43">
            <v>0</v>
          </cell>
          <cell r="D43">
            <v>0</v>
          </cell>
          <cell r="E43">
            <v>0</v>
          </cell>
          <cell r="F43" t="str">
            <v>~40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0</v>
          </cell>
          <cell r="B44" t="str">
            <v>Plasmid</v>
          </cell>
          <cell r="C44">
            <v>0</v>
          </cell>
          <cell r="D44">
            <v>0</v>
          </cell>
          <cell r="E44">
            <v>0</v>
          </cell>
          <cell r="F44" t="str">
            <v>~40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A45">
            <v>0</v>
          </cell>
          <cell r="B45" t="str">
            <v>Plasmid</v>
          </cell>
          <cell r="C45">
            <v>0</v>
          </cell>
          <cell r="D45">
            <v>0</v>
          </cell>
          <cell r="E45">
            <v>0</v>
          </cell>
          <cell r="F45" t="str">
            <v>~40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A46">
            <v>0</v>
          </cell>
          <cell r="B46" t="str">
            <v>Plasmid</v>
          </cell>
          <cell r="C46">
            <v>0</v>
          </cell>
          <cell r="D46">
            <v>0</v>
          </cell>
          <cell r="E46">
            <v>0</v>
          </cell>
          <cell r="F46" t="str">
            <v>~40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A47">
            <v>0</v>
          </cell>
          <cell r="B47" t="str">
            <v>Plasmid</v>
          </cell>
          <cell r="C47">
            <v>0</v>
          </cell>
          <cell r="D47">
            <v>0</v>
          </cell>
          <cell r="E47">
            <v>0</v>
          </cell>
          <cell r="F47" t="str">
            <v>~40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A48">
            <v>0</v>
          </cell>
          <cell r="B48" t="str">
            <v>Plasmid</v>
          </cell>
          <cell r="C48">
            <v>0</v>
          </cell>
          <cell r="D48">
            <v>0</v>
          </cell>
          <cell r="E48">
            <v>0</v>
          </cell>
          <cell r="F48" t="str">
            <v>~40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A49">
            <v>0</v>
          </cell>
          <cell r="B49" t="str">
            <v>Plasmid</v>
          </cell>
          <cell r="C49">
            <v>0</v>
          </cell>
          <cell r="D49">
            <v>0</v>
          </cell>
          <cell r="E49">
            <v>0</v>
          </cell>
          <cell r="F49" t="str">
            <v>~40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>
            <v>0</v>
          </cell>
          <cell r="B50" t="str">
            <v>Plasmid</v>
          </cell>
          <cell r="C50">
            <v>0</v>
          </cell>
          <cell r="D50">
            <v>0</v>
          </cell>
          <cell r="E50">
            <v>0</v>
          </cell>
          <cell r="F50" t="str">
            <v>~40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A51">
            <v>0</v>
          </cell>
          <cell r="B51" t="str">
            <v>Plasmid</v>
          </cell>
          <cell r="C51">
            <v>0</v>
          </cell>
          <cell r="D51">
            <v>0</v>
          </cell>
          <cell r="E51">
            <v>0</v>
          </cell>
          <cell r="F51" t="str">
            <v>~40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>
            <v>0</v>
          </cell>
          <cell r="B52" t="str">
            <v>Plasmid</v>
          </cell>
          <cell r="C52">
            <v>0</v>
          </cell>
          <cell r="D52">
            <v>0</v>
          </cell>
          <cell r="E52">
            <v>0</v>
          </cell>
          <cell r="F52" t="str">
            <v>~40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>
            <v>0</v>
          </cell>
          <cell r="B53" t="str">
            <v>Plasmid</v>
          </cell>
          <cell r="C53">
            <v>0</v>
          </cell>
          <cell r="D53">
            <v>0</v>
          </cell>
          <cell r="E53">
            <v>0</v>
          </cell>
          <cell r="F53" t="str">
            <v>~40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A54">
            <v>0</v>
          </cell>
          <cell r="B54" t="str">
            <v>Plasmid</v>
          </cell>
          <cell r="C54">
            <v>0</v>
          </cell>
          <cell r="D54">
            <v>0</v>
          </cell>
          <cell r="E54">
            <v>0</v>
          </cell>
          <cell r="F54" t="str">
            <v>~40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>
            <v>0</v>
          </cell>
          <cell r="B55" t="str">
            <v>Plasmid</v>
          </cell>
          <cell r="C55">
            <v>0</v>
          </cell>
          <cell r="D55">
            <v>0</v>
          </cell>
          <cell r="E55">
            <v>0</v>
          </cell>
          <cell r="F55" t="str">
            <v>~40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A56">
            <v>0</v>
          </cell>
          <cell r="B56" t="str">
            <v>Plasmid</v>
          </cell>
          <cell r="C56">
            <v>0</v>
          </cell>
          <cell r="D56">
            <v>0</v>
          </cell>
          <cell r="E56">
            <v>0</v>
          </cell>
          <cell r="F56" t="str">
            <v>~40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>
            <v>0</v>
          </cell>
          <cell r="B57" t="str">
            <v>Plasmid</v>
          </cell>
          <cell r="C57">
            <v>0</v>
          </cell>
          <cell r="D57">
            <v>0</v>
          </cell>
          <cell r="E57">
            <v>0</v>
          </cell>
          <cell r="F57" t="str">
            <v>~40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A58">
            <v>0</v>
          </cell>
          <cell r="B58" t="str">
            <v>Plasmid</v>
          </cell>
          <cell r="C58">
            <v>0</v>
          </cell>
          <cell r="D58">
            <v>0</v>
          </cell>
          <cell r="E58">
            <v>0</v>
          </cell>
          <cell r="F58" t="str">
            <v>~40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A59">
            <v>0</v>
          </cell>
          <cell r="B59" t="str">
            <v>Plasmid</v>
          </cell>
          <cell r="C59">
            <v>0</v>
          </cell>
          <cell r="D59">
            <v>0</v>
          </cell>
          <cell r="E59">
            <v>0</v>
          </cell>
          <cell r="F59" t="str">
            <v>~40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A60">
            <v>0</v>
          </cell>
          <cell r="B60" t="str">
            <v>Plasmid</v>
          </cell>
          <cell r="C60">
            <v>0</v>
          </cell>
          <cell r="D60">
            <v>0</v>
          </cell>
          <cell r="E60">
            <v>0</v>
          </cell>
          <cell r="F60" t="str">
            <v>~40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A61">
            <v>0</v>
          </cell>
          <cell r="B61" t="str">
            <v>Plasmid</v>
          </cell>
          <cell r="C61">
            <v>0</v>
          </cell>
          <cell r="D61">
            <v>0</v>
          </cell>
          <cell r="E61">
            <v>0</v>
          </cell>
          <cell r="F61" t="str">
            <v>~40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A62">
            <v>0</v>
          </cell>
          <cell r="B62" t="str">
            <v>Plasmid</v>
          </cell>
          <cell r="C62">
            <v>0</v>
          </cell>
          <cell r="D62">
            <v>0</v>
          </cell>
          <cell r="E62">
            <v>0</v>
          </cell>
          <cell r="F62" t="str">
            <v>~40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>
            <v>0</v>
          </cell>
          <cell r="B63" t="str">
            <v>Plasmid</v>
          </cell>
          <cell r="C63">
            <v>0</v>
          </cell>
          <cell r="D63">
            <v>0</v>
          </cell>
          <cell r="E63">
            <v>0</v>
          </cell>
          <cell r="F63" t="str">
            <v>~40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>
            <v>0</v>
          </cell>
          <cell r="B64" t="str">
            <v>Plasmid</v>
          </cell>
          <cell r="C64">
            <v>0</v>
          </cell>
          <cell r="D64">
            <v>0</v>
          </cell>
          <cell r="E64">
            <v>0</v>
          </cell>
          <cell r="F64" t="str">
            <v>~40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>
            <v>0</v>
          </cell>
          <cell r="B65" t="str">
            <v>Plasmid</v>
          </cell>
          <cell r="C65">
            <v>0</v>
          </cell>
          <cell r="D65">
            <v>0</v>
          </cell>
          <cell r="E65">
            <v>0</v>
          </cell>
          <cell r="F65" t="str">
            <v>~40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A66">
            <v>0</v>
          </cell>
          <cell r="B66" t="str">
            <v>Plasmid</v>
          </cell>
          <cell r="C66">
            <v>0</v>
          </cell>
          <cell r="D66">
            <v>0</v>
          </cell>
          <cell r="E66">
            <v>0</v>
          </cell>
          <cell r="F66" t="str">
            <v>~40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>
            <v>0</v>
          </cell>
          <cell r="B67" t="str">
            <v>Plasmid</v>
          </cell>
          <cell r="C67">
            <v>0</v>
          </cell>
          <cell r="D67">
            <v>0</v>
          </cell>
          <cell r="E67">
            <v>0</v>
          </cell>
          <cell r="F67" t="str">
            <v>~40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>
            <v>0</v>
          </cell>
          <cell r="B68" t="str">
            <v>Plasmid</v>
          </cell>
          <cell r="C68">
            <v>0</v>
          </cell>
          <cell r="D68">
            <v>0</v>
          </cell>
          <cell r="E68">
            <v>0</v>
          </cell>
          <cell r="F68" t="str">
            <v>~40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>
            <v>0</v>
          </cell>
          <cell r="B69" t="str">
            <v>Plasmid</v>
          </cell>
          <cell r="C69">
            <v>0</v>
          </cell>
          <cell r="D69">
            <v>0</v>
          </cell>
          <cell r="E69">
            <v>0</v>
          </cell>
          <cell r="F69" t="str">
            <v>~40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>
            <v>0</v>
          </cell>
          <cell r="B70" t="str">
            <v>Plasmid</v>
          </cell>
          <cell r="C70">
            <v>0</v>
          </cell>
          <cell r="D70">
            <v>0</v>
          </cell>
          <cell r="E70">
            <v>0</v>
          </cell>
          <cell r="F70" t="str">
            <v>~40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>
            <v>0</v>
          </cell>
          <cell r="B71" t="str">
            <v>Plasmid</v>
          </cell>
          <cell r="C71">
            <v>0</v>
          </cell>
          <cell r="D71">
            <v>0</v>
          </cell>
          <cell r="E71">
            <v>0</v>
          </cell>
          <cell r="F71" t="str">
            <v>~40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>
            <v>0</v>
          </cell>
          <cell r="B72" t="str">
            <v>Plasmid</v>
          </cell>
          <cell r="C72">
            <v>0</v>
          </cell>
          <cell r="D72">
            <v>0</v>
          </cell>
          <cell r="E72">
            <v>0</v>
          </cell>
          <cell r="F72" t="str">
            <v>~40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>
            <v>0</v>
          </cell>
          <cell r="B73" t="str">
            <v>Plasmid</v>
          </cell>
          <cell r="C73">
            <v>0</v>
          </cell>
          <cell r="D73">
            <v>0</v>
          </cell>
          <cell r="E73">
            <v>0</v>
          </cell>
          <cell r="F73" t="str">
            <v>~40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>
            <v>0</v>
          </cell>
          <cell r="B74" t="str">
            <v>Plasmid</v>
          </cell>
          <cell r="C74">
            <v>0</v>
          </cell>
          <cell r="D74">
            <v>0</v>
          </cell>
          <cell r="E74">
            <v>0</v>
          </cell>
          <cell r="F74" t="str">
            <v>~40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>
            <v>0</v>
          </cell>
          <cell r="B75" t="str">
            <v>Plasmid</v>
          </cell>
          <cell r="C75">
            <v>0</v>
          </cell>
          <cell r="D75">
            <v>0</v>
          </cell>
          <cell r="E75">
            <v>0</v>
          </cell>
          <cell r="F75" t="str">
            <v>~40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>
            <v>0</v>
          </cell>
          <cell r="B76" t="str">
            <v>Plasmid</v>
          </cell>
          <cell r="C76">
            <v>0</v>
          </cell>
          <cell r="D76">
            <v>0</v>
          </cell>
          <cell r="E76">
            <v>0</v>
          </cell>
          <cell r="F76" t="str">
            <v>~40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>
            <v>0</v>
          </cell>
          <cell r="B77" t="str">
            <v>Plasmid</v>
          </cell>
          <cell r="C77">
            <v>0</v>
          </cell>
          <cell r="D77">
            <v>0</v>
          </cell>
          <cell r="E77">
            <v>0</v>
          </cell>
          <cell r="F77" t="str">
            <v>~40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>
            <v>0</v>
          </cell>
          <cell r="B78" t="str">
            <v>Plasmid</v>
          </cell>
          <cell r="C78">
            <v>0</v>
          </cell>
          <cell r="D78">
            <v>0</v>
          </cell>
          <cell r="E78">
            <v>0</v>
          </cell>
          <cell r="F78" t="str">
            <v>~40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>
            <v>0</v>
          </cell>
          <cell r="B79" t="str">
            <v>Plasmid</v>
          </cell>
          <cell r="C79">
            <v>0</v>
          </cell>
          <cell r="D79">
            <v>0</v>
          </cell>
          <cell r="E79">
            <v>0</v>
          </cell>
          <cell r="F79" t="str">
            <v>~40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A80">
            <v>0</v>
          </cell>
          <cell r="B80" t="str">
            <v>Plasmid</v>
          </cell>
          <cell r="C80">
            <v>0</v>
          </cell>
          <cell r="D80">
            <v>0</v>
          </cell>
          <cell r="E80">
            <v>0</v>
          </cell>
          <cell r="F80" t="str">
            <v>~40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>
            <v>0</v>
          </cell>
          <cell r="B81" t="str">
            <v>Plasmid</v>
          </cell>
          <cell r="C81">
            <v>0</v>
          </cell>
          <cell r="D81">
            <v>0</v>
          </cell>
          <cell r="E81">
            <v>0</v>
          </cell>
          <cell r="F81" t="str">
            <v>~40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A82">
            <v>0</v>
          </cell>
          <cell r="B82" t="str">
            <v>Plasmid</v>
          </cell>
          <cell r="C82">
            <v>0</v>
          </cell>
          <cell r="D82">
            <v>0</v>
          </cell>
          <cell r="E82">
            <v>0</v>
          </cell>
          <cell r="F82" t="str">
            <v>~40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A83">
            <v>0</v>
          </cell>
          <cell r="B83" t="str">
            <v>Plasmid</v>
          </cell>
          <cell r="C83">
            <v>0</v>
          </cell>
          <cell r="D83">
            <v>0</v>
          </cell>
          <cell r="E83">
            <v>0</v>
          </cell>
          <cell r="F83" t="str">
            <v>~40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>
            <v>0</v>
          </cell>
          <cell r="B84" t="str">
            <v>Plasmid</v>
          </cell>
          <cell r="C84">
            <v>0</v>
          </cell>
          <cell r="D84">
            <v>0</v>
          </cell>
          <cell r="E84">
            <v>0</v>
          </cell>
          <cell r="F84" t="str">
            <v>~40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>
            <v>0</v>
          </cell>
          <cell r="B85" t="str">
            <v>Plasmid</v>
          </cell>
          <cell r="C85">
            <v>0</v>
          </cell>
          <cell r="D85">
            <v>0</v>
          </cell>
          <cell r="E85">
            <v>0</v>
          </cell>
          <cell r="F85" t="str">
            <v>~40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>
            <v>0</v>
          </cell>
          <cell r="B86" t="str">
            <v>Plasmid</v>
          </cell>
          <cell r="C86">
            <v>0</v>
          </cell>
          <cell r="D86">
            <v>0</v>
          </cell>
          <cell r="E86">
            <v>0</v>
          </cell>
          <cell r="F86" t="str">
            <v>~40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A87">
            <v>0</v>
          </cell>
          <cell r="B87" t="str">
            <v>Plasmid</v>
          </cell>
          <cell r="C87">
            <v>0</v>
          </cell>
          <cell r="D87">
            <v>0</v>
          </cell>
          <cell r="E87">
            <v>0</v>
          </cell>
          <cell r="F87" t="str">
            <v>~40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>
            <v>0</v>
          </cell>
          <cell r="B88" t="str">
            <v>Plasmid</v>
          </cell>
          <cell r="C88">
            <v>0</v>
          </cell>
          <cell r="D88">
            <v>0</v>
          </cell>
          <cell r="E88">
            <v>0</v>
          </cell>
          <cell r="F88" t="str">
            <v>~40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A89">
            <v>0</v>
          </cell>
          <cell r="B89" t="str">
            <v>Plasmid</v>
          </cell>
          <cell r="C89">
            <v>0</v>
          </cell>
          <cell r="D89">
            <v>0</v>
          </cell>
          <cell r="E89">
            <v>0</v>
          </cell>
          <cell r="F89" t="str">
            <v>~40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A90">
            <v>0</v>
          </cell>
          <cell r="B90" t="str">
            <v>Plasmid</v>
          </cell>
          <cell r="C90">
            <v>0</v>
          </cell>
          <cell r="D90">
            <v>0</v>
          </cell>
          <cell r="E90">
            <v>0</v>
          </cell>
          <cell r="F90" t="str">
            <v>~40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>
            <v>0</v>
          </cell>
          <cell r="B91" t="str">
            <v>Plasmid</v>
          </cell>
          <cell r="C91">
            <v>0</v>
          </cell>
          <cell r="D91">
            <v>0</v>
          </cell>
          <cell r="E91">
            <v>0</v>
          </cell>
          <cell r="F91" t="str">
            <v>~40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A92">
            <v>0</v>
          </cell>
          <cell r="B92" t="str">
            <v>Plasmid</v>
          </cell>
          <cell r="C92">
            <v>0</v>
          </cell>
          <cell r="D92">
            <v>0</v>
          </cell>
          <cell r="E92">
            <v>0</v>
          </cell>
          <cell r="F92" t="str">
            <v>~40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A93">
            <v>0</v>
          </cell>
          <cell r="B93" t="str">
            <v>Plasmid</v>
          </cell>
          <cell r="C93">
            <v>0</v>
          </cell>
          <cell r="D93">
            <v>0</v>
          </cell>
          <cell r="E93">
            <v>0</v>
          </cell>
          <cell r="F93" t="str">
            <v>~40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A94">
            <v>0</v>
          </cell>
          <cell r="B94" t="str">
            <v>Plasmid</v>
          </cell>
          <cell r="C94">
            <v>0</v>
          </cell>
          <cell r="D94">
            <v>0</v>
          </cell>
          <cell r="E94">
            <v>0</v>
          </cell>
          <cell r="F94" t="str">
            <v>~40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A95">
            <v>0</v>
          </cell>
          <cell r="B95" t="str">
            <v>Plasmid</v>
          </cell>
          <cell r="C95">
            <v>0</v>
          </cell>
          <cell r="D95">
            <v>0</v>
          </cell>
          <cell r="E95">
            <v>0</v>
          </cell>
          <cell r="F95" t="str">
            <v>~40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A96">
            <v>0</v>
          </cell>
          <cell r="B96" t="str">
            <v>Plasmid</v>
          </cell>
          <cell r="C96">
            <v>0</v>
          </cell>
          <cell r="D96">
            <v>0</v>
          </cell>
          <cell r="E96">
            <v>0</v>
          </cell>
          <cell r="F96" t="str">
            <v>~40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A97">
            <v>0</v>
          </cell>
          <cell r="B97" t="str">
            <v>Plasmid</v>
          </cell>
          <cell r="C97">
            <v>0</v>
          </cell>
          <cell r="D97">
            <v>0</v>
          </cell>
          <cell r="E97">
            <v>0</v>
          </cell>
          <cell r="F97" t="str">
            <v>~40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A98">
            <v>0</v>
          </cell>
          <cell r="B98" t="str">
            <v>Plasmid</v>
          </cell>
          <cell r="C98">
            <v>0</v>
          </cell>
          <cell r="D98">
            <v>0</v>
          </cell>
          <cell r="E98">
            <v>0</v>
          </cell>
          <cell r="F98" t="str">
            <v>~40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A99">
            <v>0</v>
          </cell>
          <cell r="B99" t="str">
            <v>Plasmid</v>
          </cell>
          <cell r="C99">
            <v>0</v>
          </cell>
          <cell r="D99">
            <v>0</v>
          </cell>
          <cell r="E99">
            <v>0</v>
          </cell>
          <cell r="F99" t="str">
            <v>~40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A100">
            <v>0</v>
          </cell>
          <cell r="B100" t="str">
            <v>Plasmid</v>
          </cell>
          <cell r="C100">
            <v>0</v>
          </cell>
          <cell r="D100">
            <v>0</v>
          </cell>
          <cell r="E100">
            <v>0</v>
          </cell>
          <cell r="F100" t="str">
            <v>~40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A101">
            <v>0</v>
          </cell>
          <cell r="B101" t="str">
            <v>Plasmid</v>
          </cell>
          <cell r="C101">
            <v>0</v>
          </cell>
          <cell r="D101">
            <v>0</v>
          </cell>
          <cell r="E101">
            <v>0</v>
          </cell>
          <cell r="F101" t="str">
            <v>~40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>
            <v>0</v>
          </cell>
          <cell r="B102" t="str">
            <v>Plasmid</v>
          </cell>
          <cell r="C102">
            <v>0</v>
          </cell>
          <cell r="D102">
            <v>0</v>
          </cell>
          <cell r="E102">
            <v>0</v>
          </cell>
          <cell r="F102" t="str">
            <v>~40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A103">
            <v>0</v>
          </cell>
          <cell r="B103" t="str">
            <v>Plasmid</v>
          </cell>
          <cell r="C103">
            <v>0</v>
          </cell>
          <cell r="D103">
            <v>0</v>
          </cell>
          <cell r="E103">
            <v>0</v>
          </cell>
          <cell r="F103" t="str">
            <v>~40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>
            <v>0</v>
          </cell>
          <cell r="B104" t="str">
            <v>Plasmid</v>
          </cell>
          <cell r="C104">
            <v>0</v>
          </cell>
          <cell r="D104">
            <v>0</v>
          </cell>
          <cell r="E104">
            <v>0</v>
          </cell>
          <cell r="F104" t="str">
            <v>~40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A105">
            <v>0</v>
          </cell>
          <cell r="B105" t="str">
            <v>Plasmid</v>
          </cell>
          <cell r="C105">
            <v>0</v>
          </cell>
          <cell r="D105">
            <v>0</v>
          </cell>
          <cell r="E105">
            <v>0</v>
          </cell>
          <cell r="F105" t="str">
            <v>~40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A106">
            <v>0</v>
          </cell>
          <cell r="B106" t="str">
            <v>Plasmid</v>
          </cell>
          <cell r="C106">
            <v>0</v>
          </cell>
          <cell r="D106">
            <v>0</v>
          </cell>
          <cell r="E106">
            <v>0</v>
          </cell>
          <cell r="F106" t="str">
            <v>~40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>
            <v>0</v>
          </cell>
          <cell r="B107" t="str">
            <v>Plasmid</v>
          </cell>
          <cell r="C107">
            <v>0</v>
          </cell>
          <cell r="D107">
            <v>0</v>
          </cell>
          <cell r="E107">
            <v>0</v>
          </cell>
          <cell r="F107" t="str">
            <v>~40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>
            <v>0</v>
          </cell>
          <cell r="B108" t="str">
            <v>Plasmid</v>
          </cell>
          <cell r="C108">
            <v>0</v>
          </cell>
          <cell r="D108">
            <v>0</v>
          </cell>
          <cell r="E108">
            <v>0</v>
          </cell>
          <cell r="F108" t="str">
            <v>~40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>
            <v>0</v>
          </cell>
          <cell r="B109" t="str">
            <v>Plasmid</v>
          </cell>
          <cell r="C109">
            <v>0</v>
          </cell>
          <cell r="D109">
            <v>0</v>
          </cell>
          <cell r="E109">
            <v>0</v>
          </cell>
          <cell r="F109" t="str">
            <v>~40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>
            <v>0</v>
          </cell>
          <cell r="B110" t="str">
            <v>Plasmid</v>
          </cell>
          <cell r="C110">
            <v>0</v>
          </cell>
          <cell r="D110">
            <v>0</v>
          </cell>
          <cell r="E110">
            <v>0</v>
          </cell>
          <cell r="F110" t="str">
            <v>~40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>
            <v>0</v>
          </cell>
          <cell r="B111" t="str">
            <v>Plasmid</v>
          </cell>
          <cell r="C111">
            <v>0</v>
          </cell>
          <cell r="D111">
            <v>0</v>
          </cell>
          <cell r="E111">
            <v>0</v>
          </cell>
          <cell r="F111" t="str">
            <v>~40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>
            <v>0</v>
          </cell>
          <cell r="B112" t="str">
            <v>Plasmid</v>
          </cell>
          <cell r="C112">
            <v>0</v>
          </cell>
          <cell r="D112">
            <v>0</v>
          </cell>
          <cell r="E112">
            <v>0</v>
          </cell>
          <cell r="F112" t="str">
            <v>~40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A113">
            <v>0</v>
          </cell>
          <cell r="B113" t="str">
            <v>Plasmid</v>
          </cell>
          <cell r="C113">
            <v>0</v>
          </cell>
          <cell r="D113">
            <v>0</v>
          </cell>
          <cell r="E113">
            <v>0</v>
          </cell>
          <cell r="F113" t="str">
            <v>~40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>
            <v>0</v>
          </cell>
          <cell r="B114" t="str">
            <v>Plasmid</v>
          </cell>
          <cell r="C114">
            <v>0</v>
          </cell>
          <cell r="D114">
            <v>0</v>
          </cell>
          <cell r="E114">
            <v>0</v>
          </cell>
          <cell r="F114" t="str">
            <v>~40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>
            <v>0</v>
          </cell>
          <cell r="B115" t="str">
            <v>Plasmid</v>
          </cell>
          <cell r="C115">
            <v>0</v>
          </cell>
          <cell r="D115">
            <v>0</v>
          </cell>
          <cell r="E115">
            <v>0</v>
          </cell>
          <cell r="F115" t="str">
            <v>~40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97"/>
  <sheetViews>
    <sheetView tabSelected="1" zoomScale="80" zoomScaleNormal="80" workbookViewId="0">
      <pane ySplit="1" topLeftCell="A2" activePane="bottomLeft" state="frozen"/>
      <selection pane="bottomLeft" activeCell="G2" sqref="G2"/>
    </sheetView>
  </sheetViews>
  <sheetFormatPr defaultColWidth="9" defaultRowHeight="25.5"/>
  <cols>
    <col min="1" max="1" width="15" style="17" customWidth="1"/>
    <col min="2" max="2" width="29.625" style="15" customWidth="1"/>
    <col min="3" max="3" width="30.125" style="78" customWidth="1"/>
    <col min="4" max="5" width="26.875" style="10" customWidth="1"/>
    <col min="6" max="6" width="56.875" style="16" bestFit="1" customWidth="1"/>
    <col min="7" max="16384" width="9" style="10"/>
  </cols>
  <sheetData>
    <row r="1" spans="1:6" ht="39" customHeight="1" thickBot="1">
      <c r="A1" s="21" t="s">
        <v>51</v>
      </c>
      <c r="B1" s="22" t="s">
        <v>146</v>
      </c>
      <c r="C1" s="74" t="s">
        <v>34</v>
      </c>
      <c r="D1" s="23" t="s">
        <v>33</v>
      </c>
      <c r="E1" s="23"/>
      <c r="F1" s="24" t="s">
        <v>128</v>
      </c>
    </row>
    <row r="2" spans="1:6" ht="18.75">
      <c r="A2" s="20" t="s">
        <v>53</v>
      </c>
      <c r="B2" s="59">
        <f>IFERROR(
                     VLOOKUP($A2,
                                          '[1]Order form'!$A$20:$L$115,
                                           7,
                                          FALSE),
                     "")</f>
        <v>0</v>
      </c>
      <c r="C2" s="75" t="str">
        <f>IFERROR(
                     VLOOKUP($A2,
                                          '[1]Order form'!$A$20:$L$115,
                                           10,
                                          FALSE),
                     "")</f>
        <v xml:space="preserve"> (#A1)</v>
      </c>
      <c r="D2" s="60">
        <f>IFERROR(
                     VLOOKUP($A2,
                                          '[1]Order form'!$A$20:$L$115,
                                           4,
                                          FALSE),
                     "")</f>
        <v>0</v>
      </c>
      <c r="E2" s="60"/>
      <c r="F2" s="61" t="str">
        <f>IF(C2="","",
    IF(E2&lt;&gt;"",
        C2&amp;"-"&amp;D2&amp;"-"&amp;E2&amp;"-"&amp;A2,
        IF(LEFT(C2,3)="POS",
            C2&amp;"-"&amp;A2,
            IF(AND(B2&lt;&gt;"",NOT(ISNUMBER(--B2))),
                IFERROR(
                    VLOOKUP($A2,
                    '[1]Order form'!$A$20:$L$115,
                    12,FALSE),
                ""),
                C2&amp;"-"&amp;D2&amp;"-"&amp;A2
            )
        )
    )
)</f>
        <v xml:space="preserve"> (#A1)-0-A01</v>
      </c>
    </row>
    <row r="3" spans="1:6" ht="18.75">
      <c r="A3" s="18" t="s">
        <v>54</v>
      </c>
      <c r="B3" s="62" t="str">
        <f>IFERROR(
                     VLOOKUP($A3,
                                          '[1]Order form'!$A$20:$L$115,
                                           7,
                                          FALSE),
                     "")</f>
        <v/>
      </c>
      <c r="C3" s="76" t="str">
        <f>IFERROR(
                     VLOOKUP($A3,
                                          '[1]Order form'!$A$20:$L$115,
                                           10,
                                          FALSE),
                     "")</f>
        <v/>
      </c>
      <c r="D3" s="11" t="str">
        <f>IFERROR(
                     VLOOKUP($A3,
                                          '[1]Order form'!$A$20:$L$115,
                                           4,
                                          FALSE),
                     "")</f>
        <v/>
      </c>
      <c r="E3" s="11"/>
      <c r="F3" s="12" t="str">
        <f>IF(C3="","",
    IF(E3&lt;&gt;"",
        C3&amp;"-"&amp;D3&amp;"-"&amp;E3&amp;"-"&amp;A3,
        IF(LEFT(C3,3)="POS",
            C3&amp;"-"&amp;A3,
            IF(AND(B3&lt;&gt;"",NOT(ISNUMBER(--B3))),
                IFERROR(
                    VLOOKUP($A3,
                    '[1]Order form'!$A$20:$L$115,
                    12,FALSE),
                ""),
                C3&amp;"-"&amp;D3&amp;"-"&amp;A3
            )
        )
    )
)</f>
        <v/>
      </c>
    </row>
    <row r="4" spans="1:6" ht="18.75">
      <c r="A4" s="18" t="s">
        <v>55</v>
      </c>
      <c r="B4" s="62" t="str">
        <f>IFERROR(
                     VLOOKUP($A4,
                                          '[1]Order form'!$A$20:$L$115,
                                           7,
                                          FALSE),
                     "")</f>
        <v/>
      </c>
      <c r="C4" s="76" t="str">
        <f>IFERROR(
                     VLOOKUP($A4,
                                          '[1]Order form'!$A$20:$L$115,
                                           10,
                                          FALSE),
                     "")</f>
        <v/>
      </c>
      <c r="D4" s="11" t="str">
        <f>IFERROR(
                     VLOOKUP($A4,
                                          '[1]Order form'!$A$20:$L$115,
                                           4,
                                          FALSE),
                     "")</f>
        <v/>
      </c>
      <c r="E4" s="11"/>
      <c r="F4" s="12" t="str">
        <f>IF(C4="","",
    IF(E4&lt;&gt;"",
        C4&amp;"-"&amp;D4&amp;"-"&amp;E4&amp;"-"&amp;A4,
        IF(LEFT(C4,3)="POS",
            C4&amp;"-"&amp;A4,
            IF(AND(B4&lt;&gt;"",NOT(ISNUMBER(--B4))),
                IFERROR(
                    VLOOKUP($A4,
                    '[1]Order form'!$A$20:$L$115,
                    12,FALSE),
                ""),
                C4&amp;"-"&amp;D4&amp;"-"&amp;A4
            )
        )
    )
)</f>
        <v/>
      </c>
    </row>
    <row r="5" spans="1:6" ht="18.75">
      <c r="A5" s="18" t="s">
        <v>56</v>
      </c>
      <c r="B5" s="62" t="str">
        <f>IFERROR(
                     VLOOKUP($A5,
                                          '[1]Order form'!$A$20:$L$115,
                                           7,
                                          FALSE),
                     "")</f>
        <v/>
      </c>
      <c r="C5" s="76" t="str">
        <f>IFERROR(
                     VLOOKUP($A5,
                                          '[1]Order form'!$A$20:$L$115,
                                           10,
                                          FALSE),
                     "")</f>
        <v/>
      </c>
      <c r="D5" s="11" t="str">
        <f>IFERROR(
                     VLOOKUP($A5,
                                          '[1]Order form'!$A$20:$L$115,
                                           4,
                                          FALSE),
                     "")</f>
        <v/>
      </c>
      <c r="E5" s="11"/>
      <c r="F5" s="12" t="str">
        <f>IF(C5="","",
    IF(E5&lt;&gt;"",
        C5&amp;"-"&amp;D5&amp;"-"&amp;E5&amp;"-"&amp;A5,
        IF(LEFT(C5,3)="POS",
            C5&amp;"-"&amp;A5,
            IF(AND(B5&lt;&gt;"",NOT(ISNUMBER(--B5))),
                IFERROR(
                    VLOOKUP($A5,
                    '[1]Order form'!$A$20:$L$115,
                    12,FALSE),
                ""),
                C5&amp;"-"&amp;D5&amp;"-"&amp;A5
            )
        )
    )
)</f>
        <v/>
      </c>
    </row>
    <row r="6" spans="1:6" ht="18.75">
      <c r="A6" s="18" t="s">
        <v>57</v>
      </c>
      <c r="B6" s="62" t="str">
        <f>IFERROR(
                     VLOOKUP($A6,
                                          '[1]Order form'!$A$20:$L$115,
                                           7,
                                          FALSE),
                     "")</f>
        <v/>
      </c>
      <c r="C6" s="76" t="str">
        <f>IFERROR(
                     VLOOKUP($A6,
                                          '[1]Order form'!$A$20:$L$115,
                                           10,
                                          FALSE),
                     "")</f>
        <v/>
      </c>
      <c r="D6" s="11" t="str">
        <f>IFERROR(
                     VLOOKUP($A6,
                                          '[1]Order form'!$A$20:$L$115,
                                           4,
                                          FALSE),
                     "")</f>
        <v/>
      </c>
      <c r="E6" s="11"/>
      <c r="F6" s="12" t="str">
        <f>IF(C6="","",
    IF(E6&lt;&gt;"",
        C6&amp;"-"&amp;D6&amp;"-"&amp;E6&amp;"-"&amp;A6,
        IF(LEFT(C6,3)="POS",
            C6&amp;"-"&amp;A6,
            IF(AND(B6&lt;&gt;"",NOT(ISNUMBER(--B6))),
                IFERROR(
                    VLOOKUP($A6,
                    '[1]Order form'!$A$20:$L$115,
                    12,FALSE),
                ""),
                C6&amp;"-"&amp;D6&amp;"-"&amp;A6
            )
        )
    )
)</f>
        <v/>
      </c>
    </row>
    <row r="7" spans="1:6" ht="18.75">
      <c r="A7" s="18" t="s">
        <v>58</v>
      </c>
      <c r="B7" s="62" t="str">
        <f>IFERROR(
                     VLOOKUP($A7,
                                          '[1]Order form'!$A$20:$L$115,
                                           7,
                                          FALSE),
                     "")</f>
        <v/>
      </c>
      <c r="C7" s="76" t="str">
        <f>IFERROR(
                     VLOOKUP($A7,
                                          '[1]Order form'!$A$20:$L$115,
                                           10,
                                          FALSE),
                     "")</f>
        <v/>
      </c>
      <c r="D7" s="11" t="str">
        <f>IFERROR(
                     VLOOKUP($A7,
                                          '[1]Order form'!$A$20:$L$115,
                                           4,
                                          FALSE),
                     "")</f>
        <v/>
      </c>
      <c r="E7" s="11"/>
      <c r="F7" s="12" t="str">
        <f>IF(C7="","",
    IF(E7&lt;&gt;"",
        C7&amp;"-"&amp;D7&amp;"-"&amp;E7&amp;"-"&amp;A7,
        IF(LEFT(C7,3)="POS",
            C7&amp;"-"&amp;A7,
            IF(AND(B7&lt;&gt;"",NOT(ISNUMBER(--B7))),
                IFERROR(
                    VLOOKUP($A7,
                    '[1]Order form'!$A$20:$L$115,
                    12,FALSE),
                ""),
                C7&amp;"-"&amp;D7&amp;"-"&amp;A7
            )
        )
    )
)</f>
        <v/>
      </c>
    </row>
    <row r="8" spans="1:6" ht="18.75">
      <c r="A8" s="18" t="s">
        <v>59</v>
      </c>
      <c r="B8" s="62" t="str">
        <f>IFERROR(
                     VLOOKUP($A8,
                                          '[1]Order form'!$A$20:$L$115,
                                           7,
                                          FALSE),
                     "")</f>
        <v/>
      </c>
      <c r="C8" s="76" t="str">
        <f>IFERROR(
                     VLOOKUP($A8,
                                          '[1]Order form'!$A$20:$L$115,
                                           10,
                                          FALSE),
                     "")</f>
        <v/>
      </c>
      <c r="D8" s="11" t="str">
        <f>IFERROR(
                     VLOOKUP($A8,
                                          '[1]Order form'!$A$20:$L$115,
                                           4,
                                          FALSE),
                     "")</f>
        <v/>
      </c>
      <c r="E8" s="11"/>
      <c r="F8" s="12" t="str">
        <f>IF(C8="","",
    IF(E8&lt;&gt;"",
        C8&amp;"-"&amp;D8&amp;"-"&amp;E8&amp;"-"&amp;A8,
        IF(LEFT(C8,3)="POS",
            C8&amp;"-"&amp;A8,
            IF(AND(B8&lt;&gt;"",NOT(ISNUMBER(--B8))),
                IFERROR(
                    VLOOKUP($A8,
                    '[1]Order form'!$A$20:$L$115,
                    12,FALSE),
                ""),
                C8&amp;"-"&amp;D8&amp;"-"&amp;A8
            )
        )
    )
)</f>
        <v/>
      </c>
    </row>
    <row r="9" spans="1:6" ht="18.75">
      <c r="A9" s="18" t="s">
        <v>60</v>
      </c>
      <c r="B9" s="62" t="str">
        <f>IFERROR(
                     VLOOKUP($A9,
                                          '[1]Order form'!$A$20:$L$115,
                                           7,
                                          FALSE),
                     "")</f>
        <v/>
      </c>
      <c r="C9" s="76" t="str">
        <f>IFERROR(
                     VLOOKUP($A9,
                                          '[1]Order form'!$A$20:$L$115,
                                           10,
                                          FALSE),
                     "")</f>
        <v/>
      </c>
      <c r="D9" s="11" t="str">
        <f>IFERROR(
                     VLOOKUP($A9,
                                          '[1]Order form'!$A$20:$L$115,
                                           4,
                                          FALSE),
                     "")</f>
        <v/>
      </c>
      <c r="E9" s="11"/>
      <c r="F9" s="12" t="str">
        <f>IF(C9="","",
    IF(E9&lt;&gt;"",
        C9&amp;"-"&amp;D9&amp;"-"&amp;E9&amp;"-"&amp;A9,
        IF(LEFT(C9,3)="POS",
            C9&amp;"-"&amp;A9,
            IF(AND(B9&lt;&gt;"",NOT(ISNUMBER(--B9))),
                IFERROR(
                    VLOOKUP($A9,
                    '[1]Order form'!$A$20:$L$115,
                    12,FALSE),
                ""),
                C9&amp;"-"&amp;D9&amp;"-"&amp;A9
            )
        )
    )
)</f>
        <v/>
      </c>
    </row>
    <row r="10" spans="1:6" ht="18.75">
      <c r="A10" s="18" t="s">
        <v>61</v>
      </c>
      <c r="B10" s="62" t="str">
        <f>IFERROR(
                     VLOOKUP($A10,
                                          '[1]Order form'!$A$20:$L$115,
                                           7,
                                          FALSE),
                     "")</f>
        <v/>
      </c>
      <c r="C10" s="76" t="str">
        <f>IFERROR(
                     VLOOKUP($A10,
                                          '[1]Order form'!$A$20:$L$115,
                                           10,
                                          FALSE),
                     "")</f>
        <v/>
      </c>
      <c r="D10" s="11" t="str">
        <f>IFERROR(
                     VLOOKUP($A10,
                                          '[1]Order form'!$A$20:$L$115,
                                           4,
                                          FALSE),
                     "")</f>
        <v/>
      </c>
      <c r="E10" s="11"/>
      <c r="F10" s="12" t="str">
        <f>IF(C10="","",
    IF(E10&lt;&gt;"",
        C10&amp;"-"&amp;D10&amp;"-"&amp;E10&amp;"-"&amp;A10,
        IF(LEFT(C10,3)="POS",
            C10&amp;"-"&amp;A10,
            IF(AND(B10&lt;&gt;"",NOT(ISNUMBER(--B10))),
                IFERROR(
                    VLOOKUP($A10,
                    '[1]Order form'!$A$20:$L$115,
                    12,FALSE),
                ""),
                C10&amp;"-"&amp;D10&amp;"-"&amp;A10
            )
        )
    )
)</f>
        <v/>
      </c>
    </row>
    <row r="11" spans="1:6" ht="18.75">
      <c r="A11" s="18" t="s">
        <v>62</v>
      </c>
      <c r="B11" s="62" t="str">
        <f>IFERROR(
                     VLOOKUP($A11,
                                          '[1]Order form'!$A$20:$L$115,
                                           7,
                                          FALSE),
                     "")</f>
        <v/>
      </c>
      <c r="C11" s="76" t="str">
        <f>IFERROR(
                     VLOOKUP($A11,
                                          '[1]Order form'!$A$20:$L$115,
                                           10,
                                          FALSE),
                     "")</f>
        <v/>
      </c>
      <c r="D11" s="11" t="str">
        <f>IFERROR(
                     VLOOKUP($A11,
                                          '[1]Order form'!$A$20:$L$115,
                                           4,
                                          FALSE),
                     "")</f>
        <v/>
      </c>
      <c r="E11" s="11"/>
      <c r="F11" s="12" t="str">
        <f>IF(C11="","",
    IF(E11&lt;&gt;"",
        C11&amp;"-"&amp;D11&amp;"-"&amp;E11&amp;"-"&amp;A11,
        IF(LEFT(C11,3)="POS",
            C11&amp;"-"&amp;A11,
            IF(AND(B11&lt;&gt;"",NOT(ISNUMBER(--B11))),
                IFERROR(
                    VLOOKUP($A11,
                    '[1]Order form'!$A$20:$L$115,
                    12,FALSE),
                ""),
                C11&amp;"-"&amp;D11&amp;"-"&amp;A11
            )
        )
    )
)</f>
        <v/>
      </c>
    </row>
    <row r="12" spans="1:6" ht="18.75">
      <c r="A12" s="18" t="s">
        <v>63</v>
      </c>
      <c r="B12" s="62" t="str">
        <f>IFERROR(
                     VLOOKUP($A12,
                                          '[1]Order form'!$A$20:$L$115,
                                           7,
                                          FALSE),
                     "")</f>
        <v/>
      </c>
      <c r="C12" s="76" t="str">
        <f>IFERROR(
                     VLOOKUP($A12,
                                          '[1]Order form'!$A$20:$L$115,
                                           10,
                                          FALSE),
                     "")</f>
        <v/>
      </c>
      <c r="D12" s="11" t="str">
        <f>IFERROR(
                     VLOOKUP($A12,
                                          '[1]Order form'!$A$20:$L$115,
                                           4,
                                          FALSE),
                     "")</f>
        <v/>
      </c>
      <c r="E12" s="11"/>
      <c r="F12" s="12" t="str">
        <f>IF(C12="","",
    IF(E12&lt;&gt;"",
        C12&amp;"-"&amp;D12&amp;"-"&amp;E12&amp;"-"&amp;A12,
        IF(LEFT(C12,3)="POS",
            C12&amp;"-"&amp;A12,
            IF(AND(B12&lt;&gt;"",NOT(ISNUMBER(--B12))),
                IFERROR(
                    VLOOKUP($A12,
                    '[1]Order form'!$A$20:$L$115,
                    12,FALSE),
                ""),
                C12&amp;"-"&amp;D12&amp;"-"&amp;A12
            )
        )
    )
)</f>
        <v/>
      </c>
    </row>
    <row r="13" spans="1:6" ht="18.75">
      <c r="A13" s="18" t="s">
        <v>64</v>
      </c>
      <c r="B13" s="62" t="str">
        <f>IFERROR(
                     VLOOKUP($A13,
                                          '[1]Order form'!$A$20:$L$115,
                                           7,
                                          FALSE),
                     "")</f>
        <v/>
      </c>
      <c r="C13" s="76" t="str">
        <f>IFERROR(
                     VLOOKUP($A13,
                                          '[1]Order form'!$A$20:$L$115,
                                           10,
                                          FALSE),
                     "")</f>
        <v/>
      </c>
      <c r="D13" s="11" t="str">
        <f>IFERROR(
                     VLOOKUP($A13,
                                          '[1]Order form'!$A$20:$L$115,
                                           4,
                                          FALSE),
                     "")</f>
        <v/>
      </c>
      <c r="E13" s="11"/>
      <c r="F13" s="12" t="str">
        <f>IF(C13="","",
    IF(E13&lt;&gt;"",
        C13&amp;"-"&amp;D13&amp;"-"&amp;E13&amp;"-"&amp;A13,
        IF(LEFT(C13,3)="POS",
            C13&amp;"-"&amp;A13,
            IF(AND(B13&lt;&gt;"",NOT(ISNUMBER(--B13))),
                IFERROR(
                    VLOOKUP($A13,
                    '[1]Order form'!$A$20:$L$115,
                    12,FALSE),
                ""),
                C13&amp;"-"&amp;D13&amp;"-"&amp;A13
            )
        )
    )
)</f>
        <v/>
      </c>
    </row>
    <row r="14" spans="1:6" ht="18.75">
      <c r="A14" s="18" t="s">
        <v>65</v>
      </c>
      <c r="B14" s="62" t="str">
        <f>IFERROR(
                     VLOOKUP($A14,
                                          '[1]Order form'!$A$20:$L$115,
                                           7,
                                          FALSE),
                     "")</f>
        <v/>
      </c>
      <c r="C14" s="76" t="str">
        <f>IFERROR(
                     VLOOKUP($A14,
                                          '[1]Order form'!$A$20:$L$115,
                                           10,
                                          FALSE),
                     "")</f>
        <v/>
      </c>
      <c r="D14" s="11" t="str">
        <f>IFERROR(
                     VLOOKUP($A14,
                                          '[1]Order form'!$A$20:$L$115,
                                           4,
                                          FALSE),
                     "")</f>
        <v/>
      </c>
      <c r="E14" s="11"/>
      <c r="F14" s="12" t="str">
        <f>IF(C14="","",
    IF(E14&lt;&gt;"",
        C14&amp;"-"&amp;D14&amp;"-"&amp;E14&amp;"-"&amp;A14,
        IF(LEFT(C14,3)="POS",
            C14&amp;"-"&amp;A14,
            IF(AND(B14&lt;&gt;"",NOT(ISNUMBER(--B14))),
                IFERROR(
                    VLOOKUP($A14,
                    '[1]Order form'!$A$20:$L$115,
                    12,FALSE),
                ""),
                C14&amp;"-"&amp;D14&amp;"-"&amp;A14
            )
        )
    )
)</f>
        <v/>
      </c>
    </row>
    <row r="15" spans="1:6" ht="18.75">
      <c r="A15" s="18" t="s">
        <v>66</v>
      </c>
      <c r="B15" s="62" t="str">
        <f>IFERROR(
                     VLOOKUP($A15,
                                          '[1]Order form'!$A$20:$L$115,
                                           7,
                                          FALSE),
                     "")</f>
        <v/>
      </c>
      <c r="C15" s="76" t="str">
        <f>IFERROR(
                     VLOOKUP($A15,
                                          '[1]Order form'!$A$20:$L$115,
                                           10,
                                          FALSE),
                     "")</f>
        <v/>
      </c>
      <c r="D15" s="11" t="str">
        <f>IFERROR(
                     VLOOKUP($A15,
                                          '[1]Order form'!$A$20:$L$115,
                                           4,
                                          FALSE),
                     "")</f>
        <v/>
      </c>
      <c r="E15" s="11"/>
      <c r="F15" s="12" t="str">
        <f>IF(C15="","",
    IF(E15&lt;&gt;"",
        C15&amp;"-"&amp;D15&amp;"-"&amp;E15&amp;"-"&amp;A15,
        IF(LEFT(C15,3)="POS",
            C15&amp;"-"&amp;A15,
            IF(AND(B15&lt;&gt;"",NOT(ISNUMBER(--B15))),
                IFERROR(
                    VLOOKUP($A15,
                    '[1]Order form'!$A$20:$L$115,
                    12,FALSE),
                ""),
                C15&amp;"-"&amp;D15&amp;"-"&amp;A15
            )
        )
    )
)</f>
        <v/>
      </c>
    </row>
    <row r="16" spans="1:6" ht="18.75">
      <c r="A16" s="18" t="s">
        <v>67</v>
      </c>
      <c r="B16" s="62" t="str">
        <f>IFERROR(
                     VLOOKUP($A16,
                                          '[1]Order form'!$A$20:$L$115,
                                           7,
                                          FALSE),
                     "")</f>
        <v/>
      </c>
      <c r="C16" s="76" t="str">
        <f>IFERROR(
                     VLOOKUP($A16,
                                          '[1]Order form'!$A$20:$L$115,
                                           10,
                                          FALSE),
                     "")</f>
        <v/>
      </c>
      <c r="D16" s="11" t="str">
        <f>IFERROR(
                     VLOOKUP($A16,
                                          '[1]Order form'!$A$20:$L$115,
                                           4,
                                          FALSE),
                     "")</f>
        <v/>
      </c>
      <c r="E16" s="11"/>
      <c r="F16" s="12" t="str">
        <f>IF(C16="","",
    IF(E16&lt;&gt;"",
        C16&amp;"-"&amp;D16&amp;"-"&amp;E16&amp;"-"&amp;A16,
        IF(LEFT(C16,3)="POS",
            C16&amp;"-"&amp;A16,
            IF(AND(B16&lt;&gt;"",NOT(ISNUMBER(--B16))),
                IFERROR(
                    VLOOKUP($A16,
                    '[1]Order form'!$A$20:$L$115,
                    12,FALSE),
                ""),
                C16&amp;"-"&amp;D16&amp;"-"&amp;A16
            )
        )
    )
)</f>
        <v/>
      </c>
    </row>
    <row r="17" spans="1:6" ht="18.75">
      <c r="A17" s="18" t="s">
        <v>68</v>
      </c>
      <c r="B17" s="62" t="str">
        <f>IFERROR(
                     VLOOKUP($A17,
                                          '[1]Order form'!$A$20:$L$115,
                                           7,
                                          FALSE),
                     "")</f>
        <v/>
      </c>
      <c r="C17" s="76" t="str">
        <f>IFERROR(
                     VLOOKUP($A17,
                                          '[1]Order form'!$A$20:$L$115,
                                           10,
                                          FALSE),
                     "")</f>
        <v/>
      </c>
      <c r="D17" s="11" t="str">
        <f>IFERROR(
                     VLOOKUP($A17,
                                          '[1]Order form'!$A$20:$L$115,
                                           4,
                                          FALSE),
                     "")</f>
        <v/>
      </c>
      <c r="E17" s="11"/>
      <c r="F17" s="12" t="str">
        <f>IF(C17="","",
    IF(E17&lt;&gt;"",
        C17&amp;"-"&amp;D17&amp;"-"&amp;E17&amp;"-"&amp;A17,
        IF(LEFT(C17,3)="POS",
            C17&amp;"-"&amp;A17,
            IF(AND(B17&lt;&gt;"",NOT(ISNUMBER(--B17))),
                IFERROR(
                    VLOOKUP($A17,
                    '[1]Order form'!$A$20:$L$115,
                    12,FALSE),
                ""),
                C17&amp;"-"&amp;D17&amp;"-"&amp;A17
            )
        )
    )
)</f>
        <v/>
      </c>
    </row>
    <row r="18" spans="1:6" ht="18.75">
      <c r="A18" s="18" t="s">
        <v>69</v>
      </c>
      <c r="B18" s="62" t="str">
        <f>IFERROR(
                     VLOOKUP($A18,
                                          '[1]Order form'!$A$20:$L$115,
                                           7,
                                          FALSE),
                     "")</f>
        <v/>
      </c>
      <c r="C18" s="76" t="str">
        <f>IFERROR(
                     VLOOKUP($A18,
                                          '[1]Order form'!$A$20:$L$115,
                                           10,
                                          FALSE),
                     "")</f>
        <v/>
      </c>
      <c r="D18" s="11" t="str">
        <f>IFERROR(
                     VLOOKUP($A18,
                                          '[1]Order form'!$A$20:$L$115,
                                           4,
                                          FALSE),
                     "")</f>
        <v/>
      </c>
      <c r="E18" s="11"/>
      <c r="F18" s="12" t="str">
        <f>IF(C18="","",
    IF(E18&lt;&gt;"",
        C18&amp;"-"&amp;D18&amp;"-"&amp;E18&amp;"-"&amp;A18,
        IF(LEFT(C18,3)="POS",
            C18&amp;"-"&amp;A18,
            IF(AND(B18&lt;&gt;"",NOT(ISNUMBER(--B18))),
                IFERROR(
                    VLOOKUP($A18,
                    '[1]Order form'!$A$20:$L$115,
                    12,FALSE),
                ""),
                C18&amp;"-"&amp;D18&amp;"-"&amp;A18
            )
        )
    )
)</f>
        <v/>
      </c>
    </row>
    <row r="19" spans="1:6" ht="18.75">
      <c r="A19" s="18" t="s">
        <v>70</v>
      </c>
      <c r="B19" s="62" t="str">
        <f>IFERROR(
                     VLOOKUP($A19,
                                          '[1]Order form'!$A$20:$L$115,
                                           7,
                                          FALSE),
                     "")</f>
        <v/>
      </c>
      <c r="C19" s="76" t="str">
        <f>IFERROR(
                     VLOOKUP($A19,
                                          '[1]Order form'!$A$20:$L$115,
                                           10,
                                          FALSE),
                     "")</f>
        <v/>
      </c>
      <c r="D19" s="11" t="str">
        <f>IFERROR(
                     VLOOKUP($A19,
                                          '[1]Order form'!$A$20:$L$115,
                                           4,
                                          FALSE),
                     "")</f>
        <v/>
      </c>
      <c r="E19" s="11"/>
      <c r="F19" s="12" t="str">
        <f>IF(C19="","",
    IF(E19&lt;&gt;"",
        C19&amp;"-"&amp;D19&amp;"-"&amp;E19&amp;"-"&amp;A19,
        IF(LEFT(C19,3)="POS",
            C19&amp;"-"&amp;A19,
            IF(AND(B19&lt;&gt;"",NOT(ISNUMBER(--B19))),
                IFERROR(
                    VLOOKUP($A19,
                    '[1]Order form'!$A$20:$L$115,
                    12,FALSE),
                ""),
                C19&amp;"-"&amp;D19&amp;"-"&amp;A19
            )
        )
    )
)</f>
        <v/>
      </c>
    </row>
    <row r="20" spans="1:6" ht="18.75">
      <c r="A20" s="18" t="s">
        <v>71</v>
      </c>
      <c r="B20" s="62" t="str">
        <f>IFERROR(
                     VLOOKUP($A20,
                                          '[1]Order form'!$A$20:$L$115,
                                           7,
                                          FALSE),
                     "")</f>
        <v/>
      </c>
      <c r="C20" s="76" t="str">
        <f>IFERROR(
                     VLOOKUP($A20,
                                          '[1]Order form'!$A$20:$L$115,
                                           10,
                                          FALSE),
                     "")</f>
        <v/>
      </c>
      <c r="D20" s="11" t="str">
        <f>IFERROR(
                     VLOOKUP($A20,
                                          '[1]Order form'!$A$20:$L$115,
                                           4,
                                          FALSE),
                     "")</f>
        <v/>
      </c>
      <c r="E20" s="11"/>
      <c r="F20" s="12" t="str">
        <f>IF(C20="","",
    IF(E20&lt;&gt;"",
        C20&amp;"-"&amp;D20&amp;"-"&amp;E20&amp;"-"&amp;A20,
        IF(LEFT(C20,3)="POS",
            C20&amp;"-"&amp;A20,
            IF(AND(B20&lt;&gt;"",NOT(ISNUMBER(--B20))),
                IFERROR(
                    VLOOKUP($A20,
                    '[1]Order form'!$A$20:$L$115,
                    12,FALSE),
                ""),
                C20&amp;"-"&amp;D20&amp;"-"&amp;A20
            )
        )
    )
)</f>
        <v/>
      </c>
    </row>
    <row r="21" spans="1:6" ht="18.75">
      <c r="A21" s="18" t="s">
        <v>72</v>
      </c>
      <c r="B21" s="62" t="str">
        <f>IFERROR(
                     VLOOKUP($A21,
                                          '[1]Order form'!$A$20:$L$115,
                                           7,
                                          FALSE),
                     "")</f>
        <v/>
      </c>
      <c r="C21" s="76" t="str">
        <f>IFERROR(
                     VLOOKUP($A21,
                                          '[1]Order form'!$A$20:$L$115,
                                           10,
                                          FALSE),
                     "")</f>
        <v/>
      </c>
      <c r="D21" s="11" t="str">
        <f>IFERROR(
                     VLOOKUP($A21,
                                          '[1]Order form'!$A$20:$L$115,
                                           4,
                                          FALSE),
                     "")</f>
        <v/>
      </c>
      <c r="E21" s="11"/>
      <c r="F21" s="12" t="str">
        <f>IF(C21="","",
    IF(E21&lt;&gt;"",
        C21&amp;"-"&amp;D21&amp;"-"&amp;E21&amp;"-"&amp;A21,
        IF(LEFT(C21,3)="POS",
            C21&amp;"-"&amp;A21,
            IF(AND(B21&lt;&gt;"",NOT(ISNUMBER(--B21))),
                IFERROR(
                    VLOOKUP($A21,
                    '[1]Order form'!$A$20:$L$115,
                    12,FALSE),
                ""),
                C21&amp;"-"&amp;D21&amp;"-"&amp;A21
            )
        )
    )
)</f>
        <v/>
      </c>
    </row>
    <row r="22" spans="1:6" ht="18.75">
      <c r="A22" s="18" t="s">
        <v>73</v>
      </c>
      <c r="B22" s="62" t="str">
        <f>IFERROR(
                     VLOOKUP($A22,
                                          '[1]Order form'!$A$20:$L$115,
                                           7,
                                          FALSE),
                     "")</f>
        <v/>
      </c>
      <c r="C22" s="76" t="str">
        <f>IFERROR(
                     VLOOKUP($A22,
                                          '[1]Order form'!$A$20:$L$115,
                                           10,
                                          FALSE),
                     "")</f>
        <v/>
      </c>
      <c r="D22" s="11" t="str">
        <f>IFERROR(
                     VLOOKUP($A22,
                                          '[1]Order form'!$A$20:$L$115,
                                           4,
                                          FALSE),
                     "")</f>
        <v/>
      </c>
      <c r="E22" s="11"/>
      <c r="F22" s="12" t="str">
        <f>IF(C22="","",
    IF(E22&lt;&gt;"",
        C22&amp;"-"&amp;D22&amp;"-"&amp;E22&amp;"-"&amp;A22,
        IF(LEFT(C22,3)="POS",
            C22&amp;"-"&amp;A22,
            IF(AND(B22&lt;&gt;"",NOT(ISNUMBER(--B22))),
                IFERROR(
                    VLOOKUP($A22,
                    '[1]Order form'!$A$20:$L$115,
                    12,FALSE),
                ""),
                C22&amp;"-"&amp;D22&amp;"-"&amp;A22
            )
        )
    )
)</f>
        <v/>
      </c>
    </row>
    <row r="23" spans="1:6" ht="18.75">
      <c r="A23" s="18" t="s">
        <v>74</v>
      </c>
      <c r="B23" s="62" t="str">
        <f>IFERROR(
                     VLOOKUP($A23,
                                          '[1]Order form'!$A$20:$L$115,
                                           7,
                                          FALSE),
                     "")</f>
        <v/>
      </c>
      <c r="C23" s="76" t="str">
        <f>IFERROR(
                     VLOOKUP($A23,
                                          '[1]Order form'!$A$20:$L$115,
                                           10,
                                          FALSE),
                     "")</f>
        <v/>
      </c>
      <c r="D23" s="11" t="str">
        <f>IFERROR(
                     VLOOKUP($A23,
                                          '[1]Order form'!$A$20:$L$115,
                                           4,
                                          FALSE),
                     "")</f>
        <v/>
      </c>
      <c r="E23" s="11"/>
      <c r="F23" s="12" t="str">
        <f>IF(C23="","",
    IF(E23&lt;&gt;"",
        C23&amp;"-"&amp;D23&amp;"-"&amp;E23&amp;"-"&amp;A23,
        IF(LEFT(C23,3)="POS",
            C23&amp;"-"&amp;A23,
            IF(AND(B23&lt;&gt;"",NOT(ISNUMBER(--B23))),
                IFERROR(
                    VLOOKUP($A23,
                    '[1]Order form'!$A$20:$L$115,
                    12,FALSE),
                ""),
                C23&amp;"-"&amp;D23&amp;"-"&amp;A23
            )
        )
    )
)</f>
        <v/>
      </c>
    </row>
    <row r="24" spans="1:6" ht="18.75">
      <c r="A24" s="18" t="s">
        <v>75</v>
      </c>
      <c r="B24" s="62" t="str">
        <f>IFERROR(
                     VLOOKUP($A24,
                                          '[1]Order form'!$A$20:$L$115,
                                           7,
                                          FALSE),
                     "")</f>
        <v/>
      </c>
      <c r="C24" s="76" t="str">
        <f>IFERROR(
                     VLOOKUP($A24,
                                          '[1]Order form'!$A$20:$L$115,
                                           10,
                                          FALSE),
                     "")</f>
        <v/>
      </c>
      <c r="D24" s="11" t="str">
        <f>IFERROR(
                     VLOOKUP($A24,
                                          '[1]Order form'!$A$20:$L$115,
                                           4,
                                          FALSE),
                     "")</f>
        <v/>
      </c>
      <c r="E24" s="11"/>
      <c r="F24" s="12" t="str">
        <f>IF(C24="","",
    IF(E24&lt;&gt;"",
        C24&amp;"-"&amp;D24&amp;"-"&amp;E24&amp;"-"&amp;A24,
        IF(LEFT(C24,3)="POS",
            C24&amp;"-"&amp;A24,
            IF(AND(B24&lt;&gt;"",NOT(ISNUMBER(--B24))),
                IFERROR(
                    VLOOKUP($A24,
                    '[1]Order form'!$A$20:$L$115,
                    12,FALSE),
                ""),
                C24&amp;"-"&amp;D24&amp;"-"&amp;A24
            )
        )
    )
)</f>
        <v/>
      </c>
    </row>
    <row r="25" spans="1:6" ht="18.75">
      <c r="A25" s="18" t="s">
        <v>76</v>
      </c>
      <c r="B25" s="62" t="str">
        <f>IFERROR(
                     VLOOKUP($A25,
                                          '[1]Order form'!$A$20:$L$115,
                                           7,
                                          FALSE),
                     "")</f>
        <v/>
      </c>
      <c r="C25" s="76" t="str">
        <f>IFERROR(
                     VLOOKUP($A25,
                                          '[1]Order form'!$A$20:$L$115,
                                           10,
                                          FALSE),
                     "")</f>
        <v/>
      </c>
      <c r="D25" s="11" t="str">
        <f>IFERROR(
                     VLOOKUP($A25,
                                          '[1]Order form'!$A$20:$L$115,
                                           4,
                                          FALSE),
                     "")</f>
        <v/>
      </c>
      <c r="E25" s="11"/>
      <c r="F25" s="12" t="str">
        <f>IF(C25="","",
    IF(E25&lt;&gt;"",
        C25&amp;"-"&amp;D25&amp;"-"&amp;E25&amp;"-"&amp;A25,
        IF(LEFT(C25,3)="POS",
            C25&amp;"-"&amp;A25,
            IF(AND(B25&lt;&gt;"",NOT(ISNUMBER(--B25))),
                IFERROR(
                    VLOOKUP($A25,
                    '[1]Order form'!$A$20:$L$115,
                    12,FALSE),
                ""),
                C25&amp;"-"&amp;D25&amp;"-"&amp;A25
            )
        )
    )
)</f>
        <v/>
      </c>
    </row>
    <row r="26" spans="1:6" ht="15" customHeight="1">
      <c r="A26" s="18" t="s">
        <v>77</v>
      </c>
      <c r="B26" s="62" t="str">
        <f>IFERROR(
                     VLOOKUP($A26,
                                          '[1]Order form'!$A$20:$L$115,
                                           7,
                                          FALSE),
                     "")</f>
        <v/>
      </c>
      <c r="C26" s="76" t="str">
        <f>IFERROR(
                     VLOOKUP($A26,
                                          '[1]Order form'!$A$20:$L$115,
                                           10,
                                          FALSE),
                     "")</f>
        <v/>
      </c>
      <c r="D26" s="11" t="str">
        <f>IFERROR(
                     VLOOKUP($A26,
                                          '[1]Order form'!$A$20:$L$115,
                                           4,
                                          FALSE),
                     "")</f>
        <v/>
      </c>
      <c r="E26" s="11"/>
      <c r="F26" s="12" t="str">
        <f>IF(C26="","",
    IF(E26&lt;&gt;"",
        C26&amp;"-"&amp;D26&amp;"-"&amp;E26&amp;"-"&amp;A26,
        IF(LEFT(C26,3)="POS",
            C26&amp;"-"&amp;A26,
            IF(AND(B26&lt;&gt;"",NOT(ISNUMBER(--B26))),
                IFERROR(
                    VLOOKUP($A26,
                    '[1]Order form'!$A$20:$L$115,
                    12,FALSE),
                ""),
                C26&amp;"-"&amp;D26&amp;"-"&amp;A26
            )
        )
    )
)</f>
        <v/>
      </c>
    </row>
    <row r="27" spans="1:6" ht="18.75">
      <c r="A27" s="18" t="s">
        <v>78</v>
      </c>
      <c r="B27" s="62" t="str">
        <f>IFERROR(
                     VLOOKUP($A27,
                                          '[1]Order form'!$A$20:$L$115,
                                           7,
                                          FALSE),
                     "")</f>
        <v/>
      </c>
      <c r="C27" s="76" t="str">
        <f>IFERROR(
                     VLOOKUP($A27,
                                          '[1]Order form'!$A$20:$L$115,
                                           10,
                                          FALSE),
                     "")</f>
        <v/>
      </c>
      <c r="D27" s="11" t="str">
        <f>IFERROR(
                     VLOOKUP($A27,
                                          '[1]Order form'!$A$20:$L$115,
                                           4,
                                          FALSE),
                     "")</f>
        <v/>
      </c>
      <c r="E27" s="11"/>
      <c r="F27" s="12" t="str">
        <f>IF(C27="","",
    IF(E27&lt;&gt;"",
        C27&amp;"-"&amp;D27&amp;"-"&amp;E27&amp;"-"&amp;A27,
        IF(LEFT(C27,3)="POS",
            C27&amp;"-"&amp;A27,
            IF(AND(B27&lt;&gt;"",NOT(ISNUMBER(--B27))),
                IFERROR(
                    VLOOKUP($A27,
                    '[1]Order form'!$A$20:$L$115,
                    12,FALSE),
                ""),
                C27&amp;"-"&amp;D27&amp;"-"&amp;A27
            )
        )
    )
)</f>
        <v/>
      </c>
    </row>
    <row r="28" spans="1:6" ht="18.75">
      <c r="A28" s="18" t="s">
        <v>79</v>
      </c>
      <c r="B28" s="62" t="str">
        <f>IFERROR(
                     VLOOKUP($A28,
                                          '[1]Order form'!$A$20:$L$115,
                                           7,
                                          FALSE),
                     "")</f>
        <v/>
      </c>
      <c r="C28" s="76" t="str">
        <f>IFERROR(
                     VLOOKUP($A28,
                                          '[1]Order form'!$A$20:$L$115,
                                           10,
                                          FALSE),
                     "")</f>
        <v/>
      </c>
      <c r="D28" s="11" t="str">
        <f>IFERROR(
                     VLOOKUP($A28,
                                          '[1]Order form'!$A$20:$L$115,
                                           4,
                                          FALSE),
                     "")</f>
        <v/>
      </c>
      <c r="E28" s="11"/>
      <c r="F28" s="12" t="str">
        <f>IF(C28="","",
    IF(E28&lt;&gt;"",
        C28&amp;"-"&amp;D28&amp;"-"&amp;E28&amp;"-"&amp;A28,
        IF(LEFT(C28,3)="POS",
            C28&amp;"-"&amp;A28,
            IF(AND(B28&lt;&gt;"",NOT(ISNUMBER(--B28))),
                IFERROR(
                    VLOOKUP($A28,
                    '[1]Order form'!$A$20:$L$115,
                    12,FALSE),
                ""),
                C28&amp;"-"&amp;D28&amp;"-"&amp;A28
            )
        )
    )
)</f>
        <v/>
      </c>
    </row>
    <row r="29" spans="1:6" ht="18.75">
      <c r="A29" s="18" t="s">
        <v>80</v>
      </c>
      <c r="B29" s="62" t="str">
        <f>IFERROR(
                     VLOOKUP($A29,
                                          '[1]Order form'!$A$20:$L$115,
                                           7,
                                          FALSE),
                     "")</f>
        <v/>
      </c>
      <c r="C29" s="76" t="str">
        <f>IFERROR(
                     VLOOKUP($A29,
                                          '[1]Order form'!$A$20:$L$115,
                                           10,
                                          FALSE),
                     "")</f>
        <v/>
      </c>
      <c r="D29" s="11" t="str">
        <f>IFERROR(
                     VLOOKUP($A29,
                                          '[1]Order form'!$A$20:$L$115,
                                           4,
                                          FALSE),
                     "")</f>
        <v/>
      </c>
      <c r="E29" s="11"/>
      <c r="F29" s="12" t="str">
        <f>IF(C29="","",
    IF(E29&lt;&gt;"",
        C29&amp;"-"&amp;D29&amp;"-"&amp;E29&amp;"-"&amp;A29,
        IF(LEFT(C29,3)="POS",
            C29&amp;"-"&amp;A29,
            IF(AND(B29&lt;&gt;"",NOT(ISNUMBER(--B29))),
                IFERROR(
                    VLOOKUP($A29,
                    '[1]Order form'!$A$20:$L$115,
                    12,FALSE),
                ""),
                C29&amp;"-"&amp;D29&amp;"-"&amp;A29
            )
        )
    )
)</f>
        <v/>
      </c>
    </row>
    <row r="30" spans="1:6" ht="18.75">
      <c r="A30" s="18" t="s">
        <v>81</v>
      </c>
      <c r="B30" s="62" t="str">
        <f>IFERROR(
                     VLOOKUP($A30,
                                          '[1]Order form'!$A$20:$L$115,
                                           7,
                                          FALSE),
                     "")</f>
        <v/>
      </c>
      <c r="C30" s="76" t="str">
        <f>IFERROR(
                     VLOOKUP($A30,
                                          '[1]Order form'!$A$20:$L$115,
                                           10,
                                          FALSE),
                     "")</f>
        <v/>
      </c>
      <c r="D30" s="11" t="str">
        <f>IFERROR(
                     VLOOKUP($A30,
                                          '[1]Order form'!$A$20:$L$115,
                                           4,
                                          FALSE),
                     "")</f>
        <v/>
      </c>
      <c r="E30" s="11"/>
      <c r="F30" s="12" t="str">
        <f>IF(C30="","",
    IF(E30&lt;&gt;"",
        C30&amp;"-"&amp;D30&amp;"-"&amp;E30&amp;"-"&amp;A30,
        IF(LEFT(C30,3)="POS",
            C30&amp;"-"&amp;A30,
            IF(AND(B30&lt;&gt;"",NOT(ISNUMBER(--B30))),
                IFERROR(
                    VLOOKUP($A30,
                    '[1]Order form'!$A$20:$L$115,
                    12,FALSE),
                ""),
                C30&amp;"-"&amp;D30&amp;"-"&amp;A30
            )
        )
    )
)</f>
        <v/>
      </c>
    </row>
    <row r="31" spans="1:6" ht="18.75">
      <c r="A31" s="18" t="s">
        <v>82</v>
      </c>
      <c r="B31" s="62" t="str">
        <f>IFERROR(
                     VLOOKUP($A31,
                                          '[1]Order form'!$A$20:$L$115,
                                           7,
                                          FALSE),
                     "")</f>
        <v/>
      </c>
      <c r="C31" s="76" t="str">
        <f>IFERROR(
                     VLOOKUP($A31,
                                          '[1]Order form'!$A$20:$L$115,
                                           10,
                                          FALSE),
                     "")</f>
        <v/>
      </c>
      <c r="D31" s="11" t="str">
        <f>IFERROR(
                     VLOOKUP($A31,
                                          '[1]Order form'!$A$20:$L$115,
                                           4,
                                          FALSE),
                     "")</f>
        <v/>
      </c>
      <c r="E31" s="11"/>
      <c r="F31" s="12" t="str">
        <f>IF(C31="","",
    IF(E31&lt;&gt;"",
        C31&amp;"-"&amp;D31&amp;"-"&amp;E31&amp;"-"&amp;A31,
        IF(LEFT(C31,3)="POS",
            C31&amp;"-"&amp;A31,
            IF(AND(B31&lt;&gt;"",NOT(ISNUMBER(--B31))),
                IFERROR(
                    VLOOKUP($A31,
                    '[1]Order form'!$A$20:$L$115,
                    12,FALSE),
                ""),
                C31&amp;"-"&amp;D31&amp;"-"&amp;A31
            )
        )
    )
)</f>
        <v/>
      </c>
    </row>
    <row r="32" spans="1:6" ht="18.75">
      <c r="A32" s="18" t="s">
        <v>83</v>
      </c>
      <c r="B32" s="62" t="str">
        <f>IFERROR(
                     VLOOKUP($A32,
                                          '[1]Order form'!$A$20:$L$115,
                                           7,
                                          FALSE),
                     "")</f>
        <v/>
      </c>
      <c r="C32" s="76" t="str">
        <f>IFERROR(
                     VLOOKUP($A32,
                                          '[1]Order form'!$A$20:$L$115,
                                           10,
                                          FALSE),
                     "")</f>
        <v/>
      </c>
      <c r="D32" s="11" t="str">
        <f>IFERROR(
                     VLOOKUP($A32,
                                          '[1]Order form'!$A$20:$L$115,
                                           4,
                                          FALSE),
                     "")</f>
        <v/>
      </c>
      <c r="E32" s="11"/>
      <c r="F32" s="12" t="str">
        <f>IF(C32="","",
    IF(E32&lt;&gt;"",
        C32&amp;"-"&amp;D32&amp;"-"&amp;E32&amp;"-"&amp;A32,
        IF(LEFT(C32,3)="POS",
            C32&amp;"-"&amp;A32,
            IF(AND(B32&lt;&gt;"",NOT(ISNUMBER(--B32))),
                IFERROR(
                    VLOOKUP($A32,
                    '[1]Order form'!$A$20:$L$115,
                    12,FALSE),
                ""),
                C32&amp;"-"&amp;D32&amp;"-"&amp;A32
            )
        )
    )
)</f>
        <v/>
      </c>
    </row>
    <row r="33" spans="1:6" ht="18.75">
      <c r="A33" s="18" t="s">
        <v>84</v>
      </c>
      <c r="B33" s="62" t="str">
        <f>IFERROR(
                     VLOOKUP($A33,
                                          '[1]Order form'!$A$20:$L$115,
                                           7,
                                          FALSE),
                     "")</f>
        <v/>
      </c>
      <c r="C33" s="76" t="str">
        <f>IFERROR(
                     VLOOKUP($A33,
                                          '[1]Order form'!$A$20:$L$115,
                                           10,
                                          FALSE),
                     "")</f>
        <v/>
      </c>
      <c r="D33" s="11" t="str">
        <f>IFERROR(
                     VLOOKUP($A33,
                                          '[1]Order form'!$A$20:$L$115,
                                           4,
                                          FALSE),
                     "")</f>
        <v/>
      </c>
      <c r="E33" s="11"/>
      <c r="F33" s="12" t="str">
        <f>IF(C33="","",
    IF(E33&lt;&gt;"",
        C33&amp;"-"&amp;D33&amp;"-"&amp;E33&amp;"-"&amp;A33,
        IF(LEFT(C33,3)="POS",
            C33&amp;"-"&amp;A33,
            IF(AND(B33&lt;&gt;"",NOT(ISNUMBER(--B33))),
                IFERROR(
                    VLOOKUP($A33,
                    '[1]Order form'!$A$20:$L$115,
                    12,FALSE),
                ""),
                C33&amp;"-"&amp;D33&amp;"-"&amp;A33
            )
        )
    )
)</f>
        <v/>
      </c>
    </row>
    <row r="34" spans="1:6" ht="18.75">
      <c r="A34" s="18" t="s">
        <v>85</v>
      </c>
      <c r="B34" s="62" t="str">
        <f>IFERROR(
                     VLOOKUP($A34,
                                          '[1]Order form'!$A$20:$L$115,
                                           7,
                                          FALSE),
                     "")</f>
        <v/>
      </c>
      <c r="C34" s="76" t="str">
        <f>IFERROR(
                     VLOOKUP($A34,
                                          '[1]Order form'!$A$20:$L$115,
                                           10,
                                          FALSE),
                     "")</f>
        <v/>
      </c>
      <c r="D34" s="11" t="str">
        <f>IFERROR(
                     VLOOKUP($A34,
                                          '[1]Order form'!$A$20:$L$115,
                                           4,
                                          FALSE),
                     "")</f>
        <v/>
      </c>
      <c r="E34" s="11"/>
      <c r="F34" s="12" t="str">
        <f>IF(C34="","",
    IF(E34&lt;&gt;"",
        C34&amp;"-"&amp;D34&amp;"-"&amp;E34&amp;"-"&amp;A34,
        IF(LEFT(C34,3)="POS",
            C34&amp;"-"&amp;A34,
            IF(AND(B34&lt;&gt;"",NOT(ISNUMBER(--B34))),
                IFERROR(
                    VLOOKUP($A34,
                    '[1]Order form'!$A$20:$L$115,
                    12,FALSE),
                ""),
                C34&amp;"-"&amp;D34&amp;"-"&amp;A34
            )
        )
    )
)</f>
        <v/>
      </c>
    </row>
    <row r="35" spans="1:6" ht="18.75">
      <c r="A35" s="18" t="s">
        <v>86</v>
      </c>
      <c r="B35" s="62" t="str">
        <f>IFERROR(
                     VLOOKUP($A35,
                                          '[1]Order form'!$A$20:$L$115,
                                           7,
                                          FALSE),
                     "")</f>
        <v/>
      </c>
      <c r="C35" s="76" t="str">
        <f>IFERROR(
                     VLOOKUP($A35,
                                          '[1]Order form'!$A$20:$L$115,
                                           10,
                                          FALSE),
                     "")</f>
        <v/>
      </c>
      <c r="D35" s="11" t="str">
        <f>IFERROR(
                     VLOOKUP($A35,
                                          '[1]Order form'!$A$20:$L$115,
                                           4,
                                          FALSE),
                     "")</f>
        <v/>
      </c>
      <c r="E35" s="11"/>
      <c r="F35" s="12" t="str">
        <f>IF(C35="","",
    IF(E35&lt;&gt;"",
        C35&amp;"-"&amp;D35&amp;"-"&amp;E35&amp;"-"&amp;A35,
        IF(LEFT(C35,3)="POS",
            C35&amp;"-"&amp;A35,
            IF(AND(B35&lt;&gt;"",NOT(ISNUMBER(--B35))),
                IFERROR(
                    VLOOKUP($A35,
                    '[1]Order form'!$A$20:$L$115,
                    12,FALSE),
                ""),
                C35&amp;"-"&amp;D35&amp;"-"&amp;A35
            )
        )
    )
)</f>
        <v/>
      </c>
    </row>
    <row r="36" spans="1:6" ht="18.75">
      <c r="A36" s="18" t="s">
        <v>87</v>
      </c>
      <c r="B36" s="62" t="str">
        <f>IFERROR(
                     VLOOKUP($A36,
                                          '[1]Order form'!$A$20:$L$115,
                                           7,
                                          FALSE),
                     "")</f>
        <v/>
      </c>
      <c r="C36" s="76" t="str">
        <f>IFERROR(
                     VLOOKUP($A36,
                                          '[1]Order form'!$A$20:$L$115,
                                           10,
                                          FALSE),
                     "")</f>
        <v/>
      </c>
      <c r="D36" s="11" t="str">
        <f>IFERROR(
                     VLOOKUP($A36,
                                          '[1]Order form'!$A$20:$L$115,
                                           4,
                                          FALSE),
                     "")</f>
        <v/>
      </c>
      <c r="E36" s="11"/>
      <c r="F36" s="12" t="str">
        <f>IF(C36="","",
    IF(E36&lt;&gt;"",
        C36&amp;"-"&amp;D36&amp;"-"&amp;E36&amp;"-"&amp;A36,
        IF(LEFT(C36,3)="POS",
            C36&amp;"-"&amp;A36,
            IF(AND(B36&lt;&gt;"",NOT(ISNUMBER(--B36))),
                IFERROR(
                    VLOOKUP($A36,
                    '[1]Order form'!$A$20:$L$115,
                    12,FALSE),
                ""),
                C36&amp;"-"&amp;D36&amp;"-"&amp;A36
            )
        )
    )
)</f>
        <v/>
      </c>
    </row>
    <row r="37" spans="1:6" ht="18.75">
      <c r="A37" s="18" t="s">
        <v>88</v>
      </c>
      <c r="B37" s="62" t="str">
        <f>IFERROR(
                     VLOOKUP($A37,
                                          '[1]Order form'!$A$20:$L$115,
                                           7,
                                          FALSE),
                     "")</f>
        <v/>
      </c>
      <c r="C37" s="76" t="str">
        <f>IFERROR(
                     VLOOKUP($A37,
                                          '[1]Order form'!$A$20:$L$115,
                                           10,
                                          FALSE),
                     "")</f>
        <v/>
      </c>
      <c r="D37" s="11" t="str">
        <f>IFERROR(
                     VLOOKUP($A37,
                                          '[1]Order form'!$A$20:$L$115,
                                           4,
                                          FALSE),
                     "")</f>
        <v/>
      </c>
      <c r="E37" s="11"/>
      <c r="F37" s="12" t="str">
        <f>IF(C37="","",
    IF(E37&lt;&gt;"",
        C37&amp;"-"&amp;D37&amp;"-"&amp;E37&amp;"-"&amp;A37,
        IF(LEFT(C37,3)="POS",
            C37&amp;"-"&amp;A37,
            IF(AND(B37&lt;&gt;"",NOT(ISNUMBER(--B37))),
                IFERROR(
                    VLOOKUP($A37,
                    '[1]Order form'!$A$20:$L$115,
                    12,FALSE),
                ""),
                C37&amp;"-"&amp;D37&amp;"-"&amp;A37
            )
        )
    )
)</f>
        <v/>
      </c>
    </row>
    <row r="38" spans="1:6" ht="18.75">
      <c r="A38" s="18" t="s">
        <v>89</v>
      </c>
      <c r="B38" s="62" t="str">
        <f>IFERROR(
                     VLOOKUP($A38,
                                          '[1]Order form'!$A$20:$L$115,
                                           7,
                                          FALSE),
                     "")</f>
        <v/>
      </c>
      <c r="C38" s="76" t="str">
        <f>IFERROR(
                     VLOOKUP($A38,
                                          '[1]Order form'!$A$20:$L$115,
                                           10,
                                          FALSE),
                     "")</f>
        <v/>
      </c>
      <c r="D38" s="11" t="str">
        <f>IFERROR(
                     VLOOKUP($A38,
                                          '[1]Order form'!$A$20:$L$115,
                                           4,
                                          FALSE),
                     "")</f>
        <v/>
      </c>
      <c r="E38" s="11"/>
      <c r="F38" s="12" t="str">
        <f>IF(C38="","",
    IF(E38&lt;&gt;"",
        C38&amp;"-"&amp;D38&amp;"-"&amp;E38&amp;"-"&amp;A38,
        IF(LEFT(C38,3)="POS",
            C38&amp;"-"&amp;A38,
            IF(AND(B38&lt;&gt;"",NOT(ISNUMBER(--B38))),
                IFERROR(
                    VLOOKUP($A38,
                    '[1]Order form'!$A$20:$L$115,
                    12,FALSE),
                ""),
                C38&amp;"-"&amp;D38&amp;"-"&amp;A38
            )
        )
    )
)</f>
        <v/>
      </c>
    </row>
    <row r="39" spans="1:6" ht="18.75">
      <c r="A39" s="18" t="s">
        <v>90</v>
      </c>
      <c r="B39" s="62" t="str">
        <f>IFERROR(
                     VLOOKUP($A39,
                                          '[1]Order form'!$A$20:$L$115,
                                           7,
                                          FALSE),
                     "")</f>
        <v/>
      </c>
      <c r="C39" s="76" t="str">
        <f>IFERROR(
                     VLOOKUP($A39,
                                          '[1]Order form'!$A$20:$L$115,
                                           10,
                                          FALSE),
                     "")</f>
        <v/>
      </c>
      <c r="D39" s="11" t="str">
        <f>IFERROR(
                     VLOOKUP($A39,
                                          '[1]Order form'!$A$20:$L$115,
                                           4,
                                          FALSE),
                     "")</f>
        <v/>
      </c>
      <c r="E39" s="11"/>
      <c r="F39" s="12" t="str">
        <f>IF(C39="","",
    IF(E39&lt;&gt;"",
        C39&amp;"-"&amp;D39&amp;"-"&amp;E39&amp;"-"&amp;A39,
        IF(LEFT(C39,3)="POS",
            C39&amp;"-"&amp;A39,
            IF(AND(B39&lt;&gt;"",NOT(ISNUMBER(--B39))),
                IFERROR(
                    VLOOKUP($A39,
                    '[1]Order form'!$A$20:$L$115,
                    12,FALSE),
                ""),
                C39&amp;"-"&amp;D39&amp;"-"&amp;A39
            )
        )
    )
)</f>
        <v/>
      </c>
    </row>
    <row r="40" spans="1:6" ht="18.75">
      <c r="A40" s="18" t="s">
        <v>91</v>
      </c>
      <c r="B40" s="62" t="str">
        <f>IFERROR(
                     VLOOKUP($A40,
                                          '[1]Order form'!$A$20:$L$115,
                                           7,
                                          FALSE),
                     "")</f>
        <v/>
      </c>
      <c r="C40" s="76" t="str">
        <f>IFERROR(
                     VLOOKUP($A40,
                                          '[1]Order form'!$A$20:$L$115,
                                           10,
                                          FALSE),
                     "")</f>
        <v/>
      </c>
      <c r="D40" s="11" t="str">
        <f>IFERROR(
                     VLOOKUP($A40,
                                          '[1]Order form'!$A$20:$L$115,
                                           4,
                                          FALSE),
                     "")</f>
        <v/>
      </c>
      <c r="E40" s="11"/>
      <c r="F40" s="12" t="str">
        <f>IF(C40="","",
    IF(E40&lt;&gt;"",
        C40&amp;"-"&amp;D40&amp;"-"&amp;E40&amp;"-"&amp;A40,
        IF(LEFT(C40,3)="POS",
            C40&amp;"-"&amp;A40,
            IF(AND(B40&lt;&gt;"",NOT(ISNUMBER(--B40))),
                IFERROR(
                    VLOOKUP($A40,
                    '[1]Order form'!$A$20:$L$115,
                    12,FALSE),
                ""),
                C40&amp;"-"&amp;D40&amp;"-"&amp;A40
            )
        )
    )
)</f>
        <v/>
      </c>
    </row>
    <row r="41" spans="1:6" ht="18.75">
      <c r="A41" s="18" t="s">
        <v>92</v>
      </c>
      <c r="B41" s="62" t="str">
        <f>IFERROR(
                     VLOOKUP($A41,
                                          '[1]Order form'!$A$20:$L$115,
                                           7,
                                          FALSE),
                     "")</f>
        <v/>
      </c>
      <c r="C41" s="76" t="str">
        <f>IFERROR(
                     VLOOKUP($A41,
                                          '[1]Order form'!$A$20:$L$115,
                                           10,
                                          FALSE),
                     "")</f>
        <v/>
      </c>
      <c r="D41" s="11" t="str">
        <f>IFERROR(
                     VLOOKUP($A41,
                                          '[1]Order form'!$A$20:$L$115,
                                           4,
                                          FALSE),
                     "")</f>
        <v/>
      </c>
      <c r="E41" s="11"/>
      <c r="F41" s="12" t="str">
        <f>IF(C41="","",
    IF(E41&lt;&gt;"",
        C41&amp;"-"&amp;D41&amp;"-"&amp;E41&amp;"-"&amp;A41,
        IF(LEFT(C41,3)="POS",
            C41&amp;"-"&amp;A41,
            IF(AND(B41&lt;&gt;"",NOT(ISNUMBER(--B41))),
                IFERROR(
                    VLOOKUP($A41,
                    '[1]Order form'!$A$20:$L$115,
                    12,FALSE),
                ""),
                C41&amp;"-"&amp;D41&amp;"-"&amp;A41
            )
        )
    )
)</f>
        <v/>
      </c>
    </row>
    <row r="42" spans="1:6" ht="18.75">
      <c r="A42" s="18" t="s">
        <v>93</v>
      </c>
      <c r="B42" s="62" t="str">
        <f>IFERROR(
                     VLOOKUP($A42,
                                          '[1]Order form'!$A$20:$L$115,
                                           7,
                                          FALSE),
                     "")</f>
        <v/>
      </c>
      <c r="C42" s="76" t="str">
        <f>IFERROR(
                     VLOOKUP($A42,
                                          '[1]Order form'!$A$20:$L$115,
                                           10,
                                          FALSE),
                     "")</f>
        <v/>
      </c>
      <c r="D42" s="11" t="str">
        <f>IFERROR(
                     VLOOKUP($A42,
                                          '[1]Order form'!$A$20:$L$115,
                                           4,
                                          FALSE),
                     "")</f>
        <v/>
      </c>
      <c r="E42" s="11"/>
      <c r="F42" s="12" t="str">
        <f>IF(C42="","",
    IF(E42&lt;&gt;"",
        C42&amp;"-"&amp;D42&amp;"-"&amp;E42&amp;"-"&amp;A42,
        IF(LEFT(C42,3)="POS",
            C42&amp;"-"&amp;A42,
            IF(AND(B42&lt;&gt;"",NOT(ISNUMBER(--B42))),
                IFERROR(
                    VLOOKUP($A42,
                    '[1]Order form'!$A$20:$L$115,
                    12,FALSE),
                ""),
                C42&amp;"-"&amp;D42&amp;"-"&amp;A42
            )
        )
    )
)</f>
        <v/>
      </c>
    </row>
    <row r="43" spans="1:6" ht="18.75">
      <c r="A43" s="18" t="s">
        <v>94</v>
      </c>
      <c r="B43" s="62" t="str">
        <f>IFERROR(
                     VLOOKUP($A43,
                                          '[1]Order form'!$A$20:$L$115,
                                           7,
                                          FALSE),
                     "")</f>
        <v/>
      </c>
      <c r="C43" s="76" t="str">
        <f>IFERROR(
                     VLOOKUP($A43,
                                          '[1]Order form'!$A$20:$L$115,
                                           10,
                                          FALSE),
                     "")</f>
        <v/>
      </c>
      <c r="D43" s="11" t="str">
        <f>IFERROR(
                     VLOOKUP($A43,
                                          '[1]Order form'!$A$20:$L$115,
                                           4,
                                          FALSE),
                     "")</f>
        <v/>
      </c>
      <c r="E43" s="11"/>
      <c r="F43" s="12" t="str">
        <f>IF(C43="","",
    IF(E43&lt;&gt;"",
        C43&amp;"-"&amp;D43&amp;"-"&amp;E43&amp;"-"&amp;A43,
        IF(LEFT(C43,3)="POS",
            C43&amp;"-"&amp;A43,
            IF(AND(B43&lt;&gt;"",NOT(ISNUMBER(--B43))),
                IFERROR(
                    VLOOKUP($A43,
                    '[1]Order form'!$A$20:$L$115,
                    12,FALSE),
                ""),
                C43&amp;"-"&amp;D43&amp;"-"&amp;A43
            )
        )
    )
)</f>
        <v/>
      </c>
    </row>
    <row r="44" spans="1:6" ht="18.75">
      <c r="A44" s="18" t="s">
        <v>95</v>
      </c>
      <c r="B44" s="62" t="str">
        <f>IFERROR(
                     VLOOKUP($A44,
                                          '[1]Order form'!$A$20:$L$115,
                                           7,
                                          FALSE),
                     "")</f>
        <v/>
      </c>
      <c r="C44" s="76" t="str">
        <f>IFERROR(
                     VLOOKUP($A44,
                                          '[1]Order form'!$A$20:$L$115,
                                           10,
                                          FALSE),
                     "")</f>
        <v/>
      </c>
      <c r="D44" s="11" t="str">
        <f>IFERROR(
                     VLOOKUP($A44,
                                          '[1]Order form'!$A$20:$L$115,
                                           4,
                                          FALSE),
                     "")</f>
        <v/>
      </c>
      <c r="E44" s="11"/>
      <c r="F44" s="12" t="str">
        <f>IF(C44="","",
    IF(E44&lt;&gt;"",
        C44&amp;"-"&amp;D44&amp;"-"&amp;E44&amp;"-"&amp;A44,
        IF(LEFT(C44,3)="POS",
            C44&amp;"-"&amp;A44,
            IF(AND(B44&lt;&gt;"",NOT(ISNUMBER(--B44))),
                IFERROR(
                    VLOOKUP($A44,
                    '[1]Order form'!$A$20:$L$115,
                    12,FALSE),
                ""),
                C44&amp;"-"&amp;D44&amp;"-"&amp;A44
            )
        )
    )
)</f>
        <v/>
      </c>
    </row>
    <row r="45" spans="1:6" ht="18.75">
      <c r="A45" s="18" t="s">
        <v>96</v>
      </c>
      <c r="B45" s="62" t="str">
        <f>IFERROR(
                     VLOOKUP($A45,
                                          '[1]Order form'!$A$20:$L$115,
                                           7,
                                          FALSE),
                     "")</f>
        <v/>
      </c>
      <c r="C45" s="76" t="str">
        <f>IFERROR(
                     VLOOKUP($A45,
                                          '[1]Order form'!$A$20:$L$115,
                                           10,
                                          FALSE),
                     "")</f>
        <v/>
      </c>
      <c r="D45" s="11" t="str">
        <f>IFERROR(
                     VLOOKUP($A45,
                                          '[1]Order form'!$A$20:$L$115,
                                           4,
                                          FALSE),
                     "")</f>
        <v/>
      </c>
      <c r="E45" s="11"/>
      <c r="F45" s="12" t="str">
        <f>IF(C45="","",
    IF(E45&lt;&gt;"",
        C45&amp;"-"&amp;D45&amp;"-"&amp;E45&amp;"-"&amp;A45,
        IF(LEFT(C45,3)="POS",
            C45&amp;"-"&amp;A45,
            IF(AND(B45&lt;&gt;"",NOT(ISNUMBER(--B45))),
                IFERROR(
                    VLOOKUP($A45,
                    '[1]Order form'!$A$20:$L$115,
                    12,FALSE),
                ""),
                C45&amp;"-"&amp;D45&amp;"-"&amp;A45
            )
        )
    )
)</f>
        <v/>
      </c>
    </row>
    <row r="46" spans="1:6" ht="18.75">
      <c r="A46" s="18" t="s">
        <v>97</v>
      </c>
      <c r="B46" s="62" t="str">
        <f>IFERROR(
                     VLOOKUP($A46,
                                          '[1]Order form'!$A$20:$L$115,
                                           7,
                                          FALSE),
                     "")</f>
        <v/>
      </c>
      <c r="C46" s="76" t="str">
        <f>IFERROR(
                     VLOOKUP($A46,
                                          '[1]Order form'!$A$20:$L$115,
                                           10,
                                          FALSE),
                     "")</f>
        <v/>
      </c>
      <c r="D46" s="11" t="str">
        <f>IFERROR(
                     VLOOKUP($A46,
                                          '[1]Order form'!$A$20:$L$115,
                                           4,
                                          FALSE),
                     "")</f>
        <v/>
      </c>
      <c r="E46" s="11"/>
      <c r="F46" s="12" t="str">
        <f>IF(C46="","",
    IF(E46&lt;&gt;"",
        C46&amp;"-"&amp;D46&amp;"-"&amp;E46&amp;"-"&amp;A46,
        IF(LEFT(C46,3)="POS",
            C46&amp;"-"&amp;A46,
            IF(AND(B46&lt;&gt;"",NOT(ISNUMBER(--B46))),
                IFERROR(
                    VLOOKUP($A46,
                    '[1]Order form'!$A$20:$L$115,
                    12,FALSE),
                ""),
                C46&amp;"-"&amp;D46&amp;"-"&amp;A46
            )
        )
    )
)</f>
        <v/>
      </c>
    </row>
    <row r="47" spans="1:6" ht="18.75">
      <c r="A47" s="18" t="s">
        <v>98</v>
      </c>
      <c r="B47" s="62" t="str">
        <f>IFERROR(
                     VLOOKUP($A47,
                                          '[1]Order form'!$A$20:$L$115,
                                           7,
                                          FALSE),
                     "")</f>
        <v/>
      </c>
      <c r="C47" s="76" t="str">
        <f>IFERROR(
                     VLOOKUP($A47,
                                          '[1]Order form'!$A$20:$L$115,
                                           10,
                                          FALSE),
                     "")</f>
        <v/>
      </c>
      <c r="D47" s="11" t="str">
        <f>IFERROR(
                     VLOOKUP($A47,
                                          '[1]Order form'!$A$20:$L$115,
                                           4,
                                          FALSE),
                     "")</f>
        <v/>
      </c>
      <c r="E47" s="11"/>
      <c r="F47" s="12" t="str">
        <f>IF(C47="","",
    IF(E47&lt;&gt;"",
        C47&amp;"-"&amp;D47&amp;"-"&amp;E47&amp;"-"&amp;A47,
        IF(LEFT(C47,3)="POS",
            C47&amp;"-"&amp;A47,
            IF(AND(B47&lt;&gt;"",NOT(ISNUMBER(--B47))),
                IFERROR(
                    VLOOKUP($A47,
                    '[1]Order form'!$A$20:$L$115,
                    12,FALSE),
                ""),
                C47&amp;"-"&amp;D47&amp;"-"&amp;A47
            )
        )
    )
)</f>
        <v/>
      </c>
    </row>
    <row r="48" spans="1:6" ht="18.75">
      <c r="A48" s="18" t="s">
        <v>99</v>
      </c>
      <c r="B48" s="62" t="str">
        <f>IFERROR(
                     VLOOKUP($A48,
                                          '[1]Order form'!$A$20:$L$115,
                                           7,
                                          FALSE),
                     "")</f>
        <v/>
      </c>
      <c r="C48" s="76" t="str">
        <f>IFERROR(
                     VLOOKUP($A48,
                                          '[1]Order form'!$A$20:$L$115,
                                           10,
                                          FALSE),
                     "")</f>
        <v/>
      </c>
      <c r="D48" s="11" t="str">
        <f>IFERROR(
                     VLOOKUP($A48,
                                          '[1]Order form'!$A$20:$L$115,
                                           4,
                                          FALSE),
                     "")</f>
        <v/>
      </c>
      <c r="E48" s="11"/>
      <c r="F48" s="12" t="str">
        <f>IF(C48="","",
    IF(E48&lt;&gt;"",
        C48&amp;"-"&amp;D48&amp;"-"&amp;E48&amp;"-"&amp;A48,
        IF(LEFT(C48,3)="POS",
            C48&amp;"-"&amp;A48,
            IF(AND(B48&lt;&gt;"",NOT(ISNUMBER(--B48))),
                IFERROR(
                    VLOOKUP($A48,
                    '[1]Order form'!$A$20:$L$115,
                    12,FALSE),
                ""),
                C48&amp;"-"&amp;D48&amp;"-"&amp;A48
            )
        )
    )
)</f>
        <v/>
      </c>
    </row>
    <row r="49" spans="1:6" ht="15.6" customHeight="1">
      <c r="A49" s="18" t="s">
        <v>100</v>
      </c>
      <c r="B49" s="62" t="str">
        <f>IFERROR(
                     VLOOKUP($A49,
                                          '[1]Order form'!$A$20:$L$115,
                                           7,
                                          FALSE),
                     "")</f>
        <v/>
      </c>
      <c r="C49" s="76" t="str">
        <f>IFERROR(
                     VLOOKUP($A49,
                                          '[1]Order form'!$A$20:$L$115,
                                           10,
                                          FALSE),
                     "")</f>
        <v/>
      </c>
      <c r="D49" s="11" t="str">
        <f>IFERROR(
                     VLOOKUP($A49,
                                          '[1]Order form'!$A$20:$L$115,
                                           4,
                                          FALSE),
                     "")</f>
        <v/>
      </c>
      <c r="E49" s="11"/>
      <c r="F49" s="12" t="str">
        <f>IF(C49="","",
    IF(E49&lt;&gt;"",
        C49&amp;"-"&amp;D49&amp;"-"&amp;E49&amp;"-"&amp;A49,
        IF(LEFT(C49,3)="POS",
            C49&amp;"-"&amp;A49,
            IF(AND(B49&lt;&gt;"",NOT(ISNUMBER(--B49))),
                IFERROR(
                    VLOOKUP($A49,
                    '[1]Order form'!$A$20:$L$115,
                    12,FALSE),
                ""),
                C49&amp;"-"&amp;D49&amp;"-"&amp;A49
            )
        )
    )
)</f>
        <v/>
      </c>
    </row>
    <row r="50" spans="1:6" ht="18.75">
      <c r="A50" s="18" t="s">
        <v>101</v>
      </c>
      <c r="B50" s="62" t="str">
        <f>IFERROR(
                     VLOOKUP($A50,
                                          '[1]Order form'!$A$20:$L$115,
                                           7,
                                          FALSE),
                     "")</f>
        <v/>
      </c>
      <c r="C50" s="76" t="str">
        <f>IFERROR(
                     VLOOKUP($A50,
                                          '[1]Order form'!$A$20:$L$115,
                                           10,
                                          FALSE),
                     "")</f>
        <v/>
      </c>
      <c r="D50" s="11" t="str">
        <f>IFERROR(
                     VLOOKUP($A50,
                                          '[1]Order form'!$A$20:$L$115,
                                           4,
                                          FALSE),
                     "")</f>
        <v/>
      </c>
      <c r="E50" s="11"/>
      <c r="F50" s="12" t="str">
        <f>IF(C50="","",
    IF(E50&lt;&gt;"",
        C50&amp;"-"&amp;D50&amp;"-"&amp;E50&amp;"-"&amp;A50,
        IF(LEFT(C50,3)="POS",
            C50&amp;"-"&amp;A50,
            IF(AND(B50&lt;&gt;"",NOT(ISNUMBER(--B50))),
                IFERROR(
                    VLOOKUP($A50,
                    '[1]Order form'!$A$20:$L$115,
                    12,FALSE),
                ""),
                C50&amp;"-"&amp;D50&amp;"-"&amp;A50
            )
        )
    )
)</f>
        <v/>
      </c>
    </row>
    <row r="51" spans="1:6" ht="18.75">
      <c r="A51" s="18" t="s">
        <v>102</v>
      </c>
      <c r="B51" s="62" t="str">
        <f>IFERROR(
                     VLOOKUP($A51,
                                          '[1]Order form'!$A$20:$L$115,
                                           7,
                                          FALSE),
                     "")</f>
        <v/>
      </c>
      <c r="C51" s="76" t="str">
        <f>IFERROR(
                     VLOOKUP($A51,
                                          '[1]Order form'!$A$20:$L$115,
                                           10,
                                          FALSE),
                     "")</f>
        <v/>
      </c>
      <c r="D51" s="11" t="str">
        <f>IFERROR(
                     VLOOKUP($A51,
                                          '[1]Order form'!$A$20:$L$115,
                                           4,
                                          FALSE),
                     "")</f>
        <v/>
      </c>
      <c r="E51" s="11"/>
      <c r="F51" s="12" t="str">
        <f>IF(C51="","",
    IF(E51&lt;&gt;"",
        C51&amp;"-"&amp;D51&amp;"-"&amp;E51&amp;"-"&amp;A51,
        IF(LEFT(C51,3)="POS",
            C51&amp;"-"&amp;A51,
            IF(AND(B51&lt;&gt;"",NOT(ISNUMBER(--B51))),
                IFERROR(
                    VLOOKUP($A51,
                    '[1]Order form'!$A$20:$L$115,
                    12,FALSE),
                ""),
                C51&amp;"-"&amp;D51&amp;"-"&amp;A51
            )
        )
    )
)</f>
        <v/>
      </c>
    </row>
    <row r="52" spans="1:6" ht="18.75">
      <c r="A52" s="18" t="s">
        <v>103</v>
      </c>
      <c r="B52" s="62" t="str">
        <f>IFERROR(
                     VLOOKUP($A52,
                                          '[1]Order form'!$A$20:$L$115,
                                           7,
                                          FALSE),
                     "")</f>
        <v/>
      </c>
      <c r="C52" s="76" t="str">
        <f>IFERROR(
                     VLOOKUP($A52,
                                          '[1]Order form'!$A$20:$L$115,
                                           10,
                                          FALSE),
                     "")</f>
        <v/>
      </c>
      <c r="D52" s="11" t="str">
        <f>IFERROR(
                     VLOOKUP($A52,
                                          '[1]Order form'!$A$20:$L$115,
                                           4,
                                          FALSE),
                     "")</f>
        <v/>
      </c>
      <c r="E52" s="11"/>
      <c r="F52" s="12" t="str">
        <f>IF(C52="","",
    IF(E52&lt;&gt;"",
        C52&amp;"-"&amp;D52&amp;"-"&amp;E52&amp;"-"&amp;A52,
        IF(LEFT(C52,3)="POS",
            C52&amp;"-"&amp;A52,
            IF(AND(B52&lt;&gt;"",NOT(ISNUMBER(--B52))),
                IFERROR(
                    VLOOKUP($A52,
                    '[1]Order form'!$A$20:$L$115,
                    12,FALSE),
                ""),
                C52&amp;"-"&amp;D52&amp;"-"&amp;A52
            )
        )
    )
)</f>
        <v/>
      </c>
    </row>
    <row r="53" spans="1:6" ht="18.75">
      <c r="A53" s="18" t="s">
        <v>104</v>
      </c>
      <c r="B53" s="62" t="str">
        <f>IFERROR(
                     VLOOKUP($A53,
                                          '[1]Order form'!$A$20:$L$115,
                                           7,
                                          FALSE),
                     "")</f>
        <v/>
      </c>
      <c r="C53" s="76" t="str">
        <f>IFERROR(
                     VLOOKUP($A53,
                                          '[1]Order form'!$A$20:$L$115,
                                           10,
                                          FALSE),
                     "")</f>
        <v/>
      </c>
      <c r="D53" s="11" t="str">
        <f>IFERROR(
                     VLOOKUP($A53,
                                          '[1]Order form'!$A$20:$L$115,
                                           4,
                                          FALSE),
                     "")</f>
        <v/>
      </c>
      <c r="E53" s="11"/>
      <c r="F53" s="12" t="str">
        <f>IF(C53="","",
    IF(E53&lt;&gt;"",
        C53&amp;"-"&amp;D53&amp;"-"&amp;E53&amp;"-"&amp;A53,
        IF(LEFT(C53,3)="POS",
            C53&amp;"-"&amp;A53,
            IF(AND(B53&lt;&gt;"",NOT(ISNUMBER(--B53))),
                IFERROR(
                    VLOOKUP($A53,
                    '[1]Order form'!$A$20:$L$115,
                    12,FALSE),
                ""),
                C53&amp;"-"&amp;D53&amp;"-"&amp;A53
            )
        )
    )
)</f>
        <v/>
      </c>
    </row>
    <row r="54" spans="1:6" ht="18.75">
      <c r="A54" s="18" t="s">
        <v>105</v>
      </c>
      <c r="B54" s="62" t="str">
        <f>IFERROR(
                     VLOOKUP($A54,
                                          '[1]Order form'!$A$20:$L$115,
                                           7,
                                          FALSE),
                     "")</f>
        <v/>
      </c>
      <c r="C54" s="76" t="str">
        <f>IFERROR(
                     VLOOKUP($A54,
                                          '[1]Order form'!$A$20:$L$115,
                                           10,
                                          FALSE),
                     "")</f>
        <v/>
      </c>
      <c r="D54" s="11" t="str">
        <f>IFERROR(
                     VLOOKUP($A54,
                                          '[1]Order form'!$A$20:$L$115,
                                           4,
                                          FALSE),
                     "")</f>
        <v/>
      </c>
      <c r="E54" s="11"/>
      <c r="F54" s="12" t="str">
        <f>IF(C54="","",
    IF(E54&lt;&gt;"",
        C54&amp;"-"&amp;D54&amp;"-"&amp;E54&amp;"-"&amp;A54,
        IF(LEFT(C54,3)="POS",
            C54&amp;"-"&amp;A54,
            IF(AND(B54&lt;&gt;"",NOT(ISNUMBER(--B54))),
                IFERROR(
                    VLOOKUP($A54,
                    '[1]Order form'!$A$20:$L$115,
                    12,FALSE),
                ""),
                C54&amp;"-"&amp;D54&amp;"-"&amp;A54
            )
        )
    )
)</f>
        <v/>
      </c>
    </row>
    <row r="55" spans="1:6" ht="18.75">
      <c r="A55" s="18" t="s">
        <v>106</v>
      </c>
      <c r="B55" s="62" t="str">
        <f>IFERROR(
                     VLOOKUP($A55,
                                          '[1]Order form'!$A$20:$L$115,
                                           7,
                                          FALSE),
                     "")</f>
        <v/>
      </c>
      <c r="C55" s="76" t="str">
        <f>IFERROR(
                     VLOOKUP($A55,
                                          '[1]Order form'!$A$20:$L$115,
                                           10,
                                          FALSE),
                     "")</f>
        <v/>
      </c>
      <c r="D55" s="11" t="str">
        <f>IFERROR(
                     VLOOKUP($A55,
                                          '[1]Order form'!$A$20:$L$115,
                                           4,
                                          FALSE),
                     "")</f>
        <v/>
      </c>
      <c r="E55" s="11"/>
      <c r="F55" s="12" t="str">
        <f>IF(C55="","",
    IF(E55&lt;&gt;"",
        C55&amp;"-"&amp;D55&amp;"-"&amp;E55&amp;"-"&amp;A55,
        IF(LEFT(C55,3)="POS",
            C55&amp;"-"&amp;A55,
            IF(AND(B55&lt;&gt;"",NOT(ISNUMBER(--B55))),
                IFERROR(
                    VLOOKUP($A55,
                    '[1]Order form'!$A$20:$L$115,
                    12,FALSE),
                ""),
                C55&amp;"-"&amp;D55&amp;"-"&amp;A55
            )
        )
    )
)</f>
        <v/>
      </c>
    </row>
    <row r="56" spans="1:6" ht="18.75">
      <c r="A56" s="18" t="s">
        <v>107</v>
      </c>
      <c r="B56" s="62" t="str">
        <f>IFERROR(
                     VLOOKUP($A56,
                                          '[1]Order form'!$A$20:$L$115,
                                           7,
                                          FALSE),
                     "")</f>
        <v/>
      </c>
      <c r="C56" s="76" t="str">
        <f>IFERROR(
                     VLOOKUP($A56,
                                          '[1]Order form'!$A$20:$L$115,
                                           10,
                                          FALSE),
                     "")</f>
        <v/>
      </c>
      <c r="D56" s="11" t="str">
        <f>IFERROR(
                     VLOOKUP($A56,
                                          '[1]Order form'!$A$20:$L$115,
                                           4,
                                          FALSE),
                     "")</f>
        <v/>
      </c>
      <c r="E56" s="11"/>
      <c r="F56" s="12" t="str">
        <f>IF(C56="","",
    IF(E56&lt;&gt;"",
        C56&amp;"-"&amp;D56&amp;"-"&amp;E56&amp;"-"&amp;A56,
        IF(LEFT(C56,3)="POS",
            C56&amp;"-"&amp;A56,
            IF(AND(B56&lt;&gt;"",NOT(ISNUMBER(--B56))),
                IFERROR(
                    VLOOKUP($A56,
                    '[1]Order form'!$A$20:$L$115,
                    12,FALSE),
                ""),
                C56&amp;"-"&amp;D56&amp;"-"&amp;A56
            )
        )
    )
)</f>
        <v/>
      </c>
    </row>
    <row r="57" spans="1:6" ht="18.75">
      <c r="A57" s="18" t="s">
        <v>108</v>
      </c>
      <c r="B57" s="62" t="str">
        <f>IFERROR(
                     VLOOKUP($A57,
                                          '[1]Order form'!$A$20:$L$115,
                                           7,
                                          FALSE),
                     "")</f>
        <v/>
      </c>
      <c r="C57" s="76" t="str">
        <f>IFERROR(
                     VLOOKUP($A57,
                                          '[1]Order form'!$A$20:$L$115,
                                           10,
                                          FALSE),
                     "")</f>
        <v/>
      </c>
      <c r="D57" s="11" t="str">
        <f>IFERROR(
                     VLOOKUP($A57,
                                          '[1]Order form'!$A$20:$L$115,
                                           4,
                                          FALSE),
                     "")</f>
        <v/>
      </c>
      <c r="E57" s="11"/>
      <c r="F57" s="12" t="str">
        <f>IF(C57="","",
    IF(E57&lt;&gt;"",
        C57&amp;"-"&amp;D57&amp;"-"&amp;E57&amp;"-"&amp;A57,
        IF(LEFT(C57,3)="POS",
            C57&amp;"-"&amp;A57,
            IF(AND(B57&lt;&gt;"",NOT(ISNUMBER(--B57))),
                IFERROR(
                    VLOOKUP($A57,
                    '[1]Order form'!$A$20:$L$115,
                    12,FALSE),
                ""),
                C57&amp;"-"&amp;D57&amp;"-"&amp;A57
            )
        )
    )
)</f>
        <v/>
      </c>
    </row>
    <row r="58" spans="1:6" ht="18.75">
      <c r="A58" s="18" t="s">
        <v>109</v>
      </c>
      <c r="B58" s="62" t="str">
        <f>IFERROR(
                     VLOOKUP($A58,
                                          '[1]Order form'!$A$20:$L$115,
                                           7,
                                          FALSE),
                     "")</f>
        <v/>
      </c>
      <c r="C58" s="76" t="str">
        <f>IFERROR(
                     VLOOKUP($A58,
                                          '[1]Order form'!$A$20:$L$115,
                                           10,
                                          FALSE),
                     "")</f>
        <v/>
      </c>
      <c r="D58" s="11" t="str">
        <f>IFERROR(
                     VLOOKUP($A58,
                                          '[1]Order form'!$A$20:$L$115,
                                           4,
                                          FALSE),
                     "")</f>
        <v/>
      </c>
      <c r="E58" s="11"/>
      <c r="F58" s="12" t="str">
        <f>IF(C58="","",
    IF(E58&lt;&gt;"",
        C58&amp;"-"&amp;D58&amp;"-"&amp;E58&amp;"-"&amp;A58,
        IF(LEFT(C58,3)="POS",
            C58&amp;"-"&amp;A58,
            IF(AND(B58&lt;&gt;"",NOT(ISNUMBER(--B58))),
                IFERROR(
                    VLOOKUP($A58,
                    '[1]Order form'!$A$20:$L$115,
                    12,FALSE),
                ""),
                C58&amp;"-"&amp;D58&amp;"-"&amp;A58
            )
        )
    )
)</f>
        <v/>
      </c>
    </row>
    <row r="59" spans="1:6" ht="18.75">
      <c r="A59" s="18" t="s">
        <v>110</v>
      </c>
      <c r="B59" s="62" t="str">
        <f>IFERROR(
                     VLOOKUP($A59,
                                          '[1]Order form'!$A$20:$L$115,
                                           7,
                                          FALSE),
                     "")</f>
        <v/>
      </c>
      <c r="C59" s="76" t="str">
        <f>IFERROR(
                     VLOOKUP($A59,
                                          '[1]Order form'!$A$20:$L$115,
                                           10,
                                          FALSE),
                     "")</f>
        <v/>
      </c>
      <c r="D59" s="11" t="str">
        <f>IFERROR(
                     VLOOKUP($A59,
                                          '[1]Order form'!$A$20:$L$115,
                                           4,
                                          FALSE),
                     "")</f>
        <v/>
      </c>
      <c r="E59" s="11"/>
      <c r="F59" s="12" t="str">
        <f>IF(C59="","",
    IF(E59&lt;&gt;"",
        C59&amp;"-"&amp;D59&amp;"-"&amp;E59&amp;"-"&amp;A59,
        IF(LEFT(C59,3)="POS",
            C59&amp;"-"&amp;A59,
            IF(AND(B59&lt;&gt;"",NOT(ISNUMBER(--B59))),
                IFERROR(
                    VLOOKUP($A59,
                    '[1]Order form'!$A$20:$L$115,
                    12,FALSE),
                ""),
                C59&amp;"-"&amp;D59&amp;"-"&amp;A59
            )
        )
    )
)</f>
        <v/>
      </c>
    </row>
    <row r="60" spans="1:6" ht="18.75">
      <c r="A60" s="18" t="s">
        <v>111</v>
      </c>
      <c r="B60" s="62" t="str">
        <f>IFERROR(
                     VLOOKUP($A60,
                                          '[1]Order form'!$A$20:$L$115,
                                           7,
                                          FALSE),
                     "")</f>
        <v/>
      </c>
      <c r="C60" s="76" t="str">
        <f>IFERROR(
                     VLOOKUP($A60,
                                          '[1]Order form'!$A$20:$L$115,
                                           10,
                                          FALSE),
                     "")</f>
        <v/>
      </c>
      <c r="D60" s="11" t="str">
        <f>IFERROR(
                     VLOOKUP($A60,
                                          '[1]Order form'!$A$20:$L$115,
                                           4,
                                          FALSE),
                     "")</f>
        <v/>
      </c>
      <c r="E60" s="11"/>
      <c r="F60" s="12" t="str">
        <f>IF(C60="","",
    IF(E60&lt;&gt;"",
        C60&amp;"-"&amp;D60&amp;"-"&amp;E60&amp;"-"&amp;A60,
        IF(LEFT(C60,3)="POS",
            C60&amp;"-"&amp;A60,
            IF(AND(B60&lt;&gt;"",NOT(ISNUMBER(--B60))),
                IFERROR(
                    VLOOKUP($A60,
                    '[1]Order form'!$A$20:$L$115,
                    12,FALSE),
                ""),
                C60&amp;"-"&amp;D60&amp;"-"&amp;A60
            )
        )
    )
)</f>
        <v/>
      </c>
    </row>
    <row r="61" spans="1:6" ht="18.75">
      <c r="A61" s="18" t="s">
        <v>112</v>
      </c>
      <c r="B61" s="62" t="str">
        <f>IFERROR(
                     VLOOKUP($A61,
                                          '[1]Order form'!$A$20:$L$115,
                                           7,
                                          FALSE),
                     "")</f>
        <v/>
      </c>
      <c r="C61" s="76" t="str">
        <f>IFERROR(
                     VLOOKUP($A61,
                                          '[1]Order form'!$A$20:$L$115,
                                           10,
                                          FALSE),
                     "")</f>
        <v/>
      </c>
      <c r="D61" s="11" t="str">
        <f>IFERROR(
                     VLOOKUP($A61,
                                          '[1]Order form'!$A$20:$L$115,
                                           4,
                                          FALSE),
                     "")</f>
        <v/>
      </c>
      <c r="E61" s="11"/>
      <c r="F61" s="12" t="str">
        <f>IF(C61="","",
    IF(E61&lt;&gt;"",
        C61&amp;"-"&amp;D61&amp;"-"&amp;E61&amp;"-"&amp;A61,
        IF(LEFT(C61,3)="POS",
            C61&amp;"-"&amp;A61,
            IF(AND(B61&lt;&gt;"",NOT(ISNUMBER(--B61))),
                IFERROR(
                    VLOOKUP($A61,
                    '[1]Order form'!$A$20:$L$115,
                    12,FALSE),
                ""),
                C61&amp;"-"&amp;D61&amp;"-"&amp;A61
            )
        )
    )
)</f>
        <v/>
      </c>
    </row>
    <row r="62" spans="1:6" ht="18.75">
      <c r="A62" s="18" t="s">
        <v>113</v>
      </c>
      <c r="B62" s="62" t="str">
        <f>IFERROR(
                     VLOOKUP($A62,
                                          '[1]Order form'!$A$20:$L$115,
                                           7,
                                          FALSE),
                     "")</f>
        <v/>
      </c>
      <c r="C62" s="76" t="str">
        <f>IFERROR(
                     VLOOKUP($A62,
                                          '[1]Order form'!$A$20:$L$115,
                                           10,
                                          FALSE),
                     "")</f>
        <v/>
      </c>
      <c r="D62" s="11" t="str">
        <f>IFERROR(
                     VLOOKUP($A62,
                                          '[1]Order form'!$A$20:$L$115,
                                           4,
                                          FALSE),
                     "")</f>
        <v/>
      </c>
      <c r="E62" s="11"/>
      <c r="F62" s="12" t="str">
        <f>IF(C62="","",
    IF(E62&lt;&gt;"",
        C62&amp;"-"&amp;D62&amp;"-"&amp;E62&amp;"-"&amp;A62,
        IF(LEFT(C62,3)="POS",
            C62&amp;"-"&amp;A62,
            IF(AND(B62&lt;&gt;"",NOT(ISNUMBER(--B62))),
                IFERROR(
                    VLOOKUP($A62,
                    '[1]Order form'!$A$20:$L$115,
                    12,FALSE),
                ""),
                C62&amp;"-"&amp;D62&amp;"-"&amp;A62
            )
        )
    )
)</f>
        <v/>
      </c>
    </row>
    <row r="63" spans="1:6" ht="18.75">
      <c r="A63" s="18" t="s">
        <v>114</v>
      </c>
      <c r="B63" s="62" t="str">
        <f>IFERROR(
                     VLOOKUP($A63,
                                          '[1]Order form'!$A$20:$L$115,
                                           7,
                                          FALSE),
                     "")</f>
        <v/>
      </c>
      <c r="C63" s="76" t="str">
        <f>IFERROR(
                     VLOOKUP($A63,
                                          '[1]Order form'!$A$20:$L$115,
                                           10,
                                          FALSE),
                     "")</f>
        <v/>
      </c>
      <c r="D63" s="11" t="str">
        <f>IFERROR(
                     VLOOKUP($A63,
                                          '[1]Order form'!$A$20:$L$115,
                                           4,
                                          FALSE),
                     "")</f>
        <v/>
      </c>
      <c r="E63" s="11"/>
      <c r="F63" s="12" t="str">
        <f>IF(C63="","",
    IF(E63&lt;&gt;"",
        C63&amp;"-"&amp;D63&amp;"-"&amp;E63&amp;"-"&amp;A63,
        IF(LEFT(C63,3)="POS",
            C63&amp;"-"&amp;A63,
            IF(AND(B63&lt;&gt;"",NOT(ISNUMBER(--B63))),
                IFERROR(
                    VLOOKUP($A63,
                    '[1]Order form'!$A$20:$L$115,
                    12,FALSE),
                ""),
                C63&amp;"-"&amp;D63&amp;"-"&amp;A63
            )
        )
    )
)</f>
        <v/>
      </c>
    </row>
    <row r="64" spans="1:6" ht="18.75">
      <c r="A64" s="18" t="s">
        <v>115</v>
      </c>
      <c r="B64" s="62" t="str">
        <f>IFERROR(
                     VLOOKUP($A64,
                                          '[1]Order form'!$A$20:$L$115,
                                           7,
                                          FALSE),
                     "")</f>
        <v/>
      </c>
      <c r="C64" s="76" t="str">
        <f>IFERROR(
                     VLOOKUP($A64,
                                          '[1]Order form'!$A$20:$L$115,
                                           10,
                                          FALSE),
                     "")</f>
        <v/>
      </c>
      <c r="D64" s="11" t="str">
        <f>IFERROR(
                     VLOOKUP($A64,
                                          '[1]Order form'!$A$20:$L$115,
                                           4,
                                          FALSE),
                     "")</f>
        <v/>
      </c>
      <c r="E64" s="11"/>
      <c r="F64" s="12" t="str">
        <f>IF(C64="","",
    IF(E64&lt;&gt;"",
        C64&amp;"-"&amp;D64&amp;"-"&amp;E64&amp;"-"&amp;A64,
        IF(LEFT(C64,3)="POS",
            C64&amp;"-"&amp;A64,
            IF(AND(B64&lt;&gt;"",NOT(ISNUMBER(--B64))),
                IFERROR(
                    VLOOKUP($A64,
                    '[1]Order form'!$A$20:$L$115,
                    12,FALSE),
                ""),
                C64&amp;"-"&amp;D64&amp;"-"&amp;A64
            )
        )
    )
)</f>
        <v/>
      </c>
    </row>
    <row r="65" spans="1:6" ht="18.75">
      <c r="A65" s="18" t="s">
        <v>116</v>
      </c>
      <c r="B65" s="62" t="str">
        <f>IFERROR(
                     VLOOKUP($A65,
                                          '[1]Order form'!$A$20:$L$115,
                                           7,
                                          FALSE),
                     "")</f>
        <v/>
      </c>
      <c r="C65" s="76" t="str">
        <f>IFERROR(
                     VLOOKUP($A65,
                                          '[1]Order form'!$A$20:$L$115,
                                           10,
                                          FALSE),
                     "")</f>
        <v/>
      </c>
      <c r="D65" s="11" t="str">
        <f>IFERROR(
                     VLOOKUP($A65,
                                          '[1]Order form'!$A$20:$L$115,
                                           4,
                                          FALSE),
                     "")</f>
        <v/>
      </c>
      <c r="E65" s="11"/>
      <c r="F65" s="12" t="str">
        <f>IF(C65="","",
    IF(E65&lt;&gt;"",
        C65&amp;"-"&amp;D65&amp;"-"&amp;E65&amp;"-"&amp;A65,
        IF(LEFT(C65,3)="POS",
            C65&amp;"-"&amp;A65,
            IF(AND(B65&lt;&gt;"",NOT(ISNUMBER(--B65))),
                IFERROR(
                    VLOOKUP($A65,
                    '[1]Order form'!$A$20:$L$115,
                    12,FALSE),
                ""),
                C65&amp;"-"&amp;D65&amp;"-"&amp;A65
            )
        )
    )
)</f>
        <v/>
      </c>
    </row>
    <row r="66" spans="1:6" ht="18.75">
      <c r="A66" s="18" t="s">
        <v>117</v>
      </c>
      <c r="B66" s="62" t="str">
        <f>IFERROR(
                     VLOOKUP($A66,
                                          '[1]Order form'!$A$20:$L$115,
                                           7,
                                          FALSE),
                     "")</f>
        <v/>
      </c>
      <c r="C66" s="76" t="str">
        <f>IFERROR(
                     VLOOKUP($A66,
                                          '[1]Order form'!$A$20:$L$115,
                                           10,
                                          FALSE),
                     "")</f>
        <v/>
      </c>
      <c r="D66" s="11" t="str">
        <f>IFERROR(
                     VLOOKUP($A66,
                                          '[1]Order form'!$A$20:$L$115,
                                           4,
                                          FALSE),
                     "")</f>
        <v/>
      </c>
      <c r="E66" s="11"/>
      <c r="F66" s="12" t="str">
        <f>IF(C66="","",
    IF(E66&lt;&gt;"",
        C66&amp;"-"&amp;D66&amp;"-"&amp;E66&amp;"-"&amp;A66,
        IF(LEFT(C66,3)="POS",
            C66&amp;"-"&amp;A66,
            IF(AND(B66&lt;&gt;"",NOT(ISNUMBER(--B66))),
                IFERROR(
                    VLOOKUP($A66,
                    '[1]Order form'!$A$20:$L$115,
                    12,FALSE),
                ""),
                C66&amp;"-"&amp;D66&amp;"-"&amp;A66
            )
        )
    )
)</f>
        <v/>
      </c>
    </row>
    <row r="67" spans="1:6" ht="18.75">
      <c r="A67" s="18" t="s">
        <v>118</v>
      </c>
      <c r="B67" s="62" t="str">
        <f>IFERROR(
                     VLOOKUP($A67,
                                          '[1]Order form'!$A$20:$L$115,
                                           7,
                                          FALSE),
                     "")</f>
        <v/>
      </c>
      <c r="C67" s="76" t="str">
        <f>IFERROR(
                     VLOOKUP($A67,
                                          '[1]Order form'!$A$20:$L$115,
                                           10,
                                          FALSE),
                     "")</f>
        <v/>
      </c>
      <c r="D67" s="11" t="str">
        <f>IFERROR(
                     VLOOKUP($A67,
                                          '[1]Order form'!$A$20:$L$115,
                                           4,
                                          FALSE),
                     "")</f>
        <v/>
      </c>
      <c r="E67" s="11"/>
      <c r="F67" s="12" t="str">
        <f>IF(C67="","",
    IF(E67&lt;&gt;"",
        C67&amp;"-"&amp;D67&amp;"-"&amp;E67&amp;"-"&amp;A67,
        IF(LEFT(C67,3)="POS",
            C67&amp;"-"&amp;A67,
            IF(AND(B67&lt;&gt;"",NOT(ISNUMBER(--B67))),
                IFERROR(
                    VLOOKUP($A67,
                    '[1]Order form'!$A$20:$L$115,
                    12,FALSE),
                ""),
                C67&amp;"-"&amp;D67&amp;"-"&amp;A67
            )
        )
    )
)</f>
        <v/>
      </c>
    </row>
    <row r="68" spans="1:6" ht="18.75">
      <c r="A68" s="18" t="s">
        <v>119</v>
      </c>
      <c r="B68" s="62" t="str">
        <f>IFERROR(
                     VLOOKUP($A68,
                                          '[1]Order form'!$A$20:$L$115,
                                           7,
                                          FALSE),
                     "")</f>
        <v/>
      </c>
      <c r="C68" s="76" t="str">
        <f>IFERROR(
                     VLOOKUP($A68,
                                          '[1]Order form'!$A$20:$L$115,
                                           10,
                                          FALSE),
                     "")</f>
        <v/>
      </c>
      <c r="D68" s="11" t="str">
        <f>IFERROR(
                     VLOOKUP($A68,
                                          '[1]Order form'!$A$20:$L$115,
                                           4,
                                          FALSE),
                     "")</f>
        <v/>
      </c>
      <c r="E68" s="11"/>
      <c r="F68" s="12" t="str">
        <f>IF(C68="","",
    IF(E68&lt;&gt;"",
        C68&amp;"-"&amp;D68&amp;"-"&amp;E68&amp;"-"&amp;A68,
        IF(LEFT(C68,3)="POS",
            C68&amp;"-"&amp;A68,
            IF(AND(B68&lt;&gt;"",NOT(ISNUMBER(--B68))),
                IFERROR(
                    VLOOKUP($A68,
                    '[1]Order form'!$A$20:$L$115,
                    12,FALSE),
                ""),
                C68&amp;"-"&amp;D68&amp;"-"&amp;A68
            )
        )
    )
)</f>
        <v/>
      </c>
    </row>
    <row r="69" spans="1:6" ht="18.75">
      <c r="A69" s="18" t="s">
        <v>120</v>
      </c>
      <c r="B69" s="62" t="str">
        <f>IFERROR(
                     VLOOKUP($A69,
                                          '[1]Order form'!$A$20:$L$115,
                                           7,
                                          FALSE),
                     "")</f>
        <v/>
      </c>
      <c r="C69" s="76" t="str">
        <f>IFERROR(
                     VLOOKUP($A69,
                                          '[1]Order form'!$A$20:$L$115,
                                           10,
                                          FALSE),
                     "")</f>
        <v/>
      </c>
      <c r="D69" s="11" t="str">
        <f>IFERROR(
                     VLOOKUP($A69,
                                          '[1]Order form'!$A$20:$L$115,
                                           4,
                                          FALSE),
                     "")</f>
        <v/>
      </c>
      <c r="E69" s="11"/>
      <c r="F69" s="12" t="str">
        <f>IF(C69="","",
    IF(E69&lt;&gt;"",
        C69&amp;"-"&amp;D69&amp;"-"&amp;E69&amp;"-"&amp;A69,
        IF(LEFT(C69,3)="POS",
            C69&amp;"-"&amp;A69,
            IF(AND(B69&lt;&gt;"",NOT(ISNUMBER(--B69))),
                IFERROR(
                    VLOOKUP($A69,
                    '[1]Order form'!$A$20:$L$115,
                    12,FALSE),
                ""),
                C69&amp;"-"&amp;D69&amp;"-"&amp;A69
            )
        )
    )
)</f>
        <v/>
      </c>
    </row>
    <row r="70" spans="1:6" ht="18.75">
      <c r="A70" s="18" t="s">
        <v>121</v>
      </c>
      <c r="B70" s="62" t="str">
        <f>IFERROR(
                     VLOOKUP($A70,
                                          '[1]Order form'!$A$20:$L$115,
                                           7,
                                          FALSE),
                     "")</f>
        <v/>
      </c>
      <c r="C70" s="76" t="str">
        <f>IFERROR(
                     VLOOKUP($A70,
                                          '[1]Order form'!$A$20:$L$115,
                                           10,
                                          FALSE),
                     "")</f>
        <v/>
      </c>
      <c r="D70" s="11" t="str">
        <f>IFERROR(
                     VLOOKUP($A70,
                                          '[1]Order form'!$A$20:$L$115,
                                           4,
                                          FALSE),
                     "")</f>
        <v/>
      </c>
      <c r="E70" s="11"/>
      <c r="F70" s="12" t="str">
        <f>IF(C70="","",
    IF(E70&lt;&gt;"",
        C70&amp;"-"&amp;D70&amp;"-"&amp;E70&amp;"-"&amp;A70,
        IF(LEFT(C70,3)="POS",
            C70&amp;"-"&amp;A70,
            IF(AND(B70&lt;&gt;"",NOT(ISNUMBER(--B70))),
                IFERROR(
                    VLOOKUP($A70,
                    '[1]Order form'!$A$20:$L$115,
                    12,FALSE),
                ""),
                C70&amp;"-"&amp;D70&amp;"-"&amp;A70
            )
        )
    )
)</f>
        <v/>
      </c>
    </row>
    <row r="71" spans="1:6" ht="18.75">
      <c r="A71" s="18" t="s">
        <v>122</v>
      </c>
      <c r="B71" s="62" t="str">
        <f>IFERROR(
                     VLOOKUP($A71,
                                          '[1]Order form'!$A$20:$L$115,
                                           7,
                                          FALSE),
                     "")</f>
        <v/>
      </c>
      <c r="C71" s="76" t="str">
        <f>IFERROR(
                     VLOOKUP($A71,
                                          '[1]Order form'!$A$20:$L$115,
                                           10,
                                          FALSE),
                     "")</f>
        <v/>
      </c>
      <c r="D71" s="11" t="str">
        <f>IFERROR(
                     VLOOKUP($A71,
                                          '[1]Order form'!$A$20:$L$115,
                                           4,
                                          FALSE),
                     "")</f>
        <v/>
      </c>
      <c r="E71" s="11"/>
      <c r="F71" s="12" t="str">
        <f>IF(C71="","",
    IF(E71&lt;&gt;"",
        C71&amp;"-"&amp;D71&amp;"-"&amp;E71&amp;"-"&amp;A71,
        IF(LEFT(C71,3)="POS",
            C71&amp;"-"&amp;A71,
            IF(AND(B71&lt;&gt;"",NOT(ISNUMBER(--B71))),
                IFERROR(
                    VLOOKUP($A71,
                    '[1]Order form'!$A$20:$L$115,
                    12,FALSE),
                ""),
                C71&amp;"-"&amp;D71&amp;"-"&amp;A71
            )
        )
    )
)</f>
        <v/>
      </c>
    </row>
    <row r="72" spans="1:6" ht="18.75">
      <c r="A72" s="18" t="s">
        <v>123</v>
      </c>
      <c r="B72" s="62" t="str">
        <f>IFERROR(
                     VLOOKUP($A72,
                                          '[1]Order form'!$A$20:$L$115,
                                           7,
                                          FALSE),
                     "")</f>
        <v/>
      </c>
      <c r="C72" s="76" t="str">
        <f>IFERROR(
                     VLOOKUP($A72,
                                          '[1]Order form'!$A$20:$L$115,
                                           10,
                                          FALSE),
                     "")</f>
        <v/>
      </c>
      <c r="D72" s="11" t="str">
        <f>IFERROR(
                     VLOOKUP($A72,
                                          '[1]Order form'!$A$20:$L$115,
                                           4,
                                          FALSE),
                     "")</f>
        <v/>
      </c>
      <c r="E72" s="11"/>
      <c r="F72" s="12" t="str">
        <f>IF(C72="","",
    IF(E72&lt;&gt;"",
        C72&amp;"-"&amp;D72&amp;"-"&amp;E72&amp;"-"&amp;A72,
        IF(LEFT(C72,3)="POS",
            C72&amp;"-"&amp;A72,
            IF(AND(B72&lt;&gt;"",NOT(ISNUMBER(--B72))),
                IFERROR(
                    VLOOKUP($A72,
                    '[1]Order form'!$A$20:$L$115,
                    12,FALSE),
                ""),
                C72&amp;"-"&amp;D72&amp;"-"&amp;A72
            )
        )
    )
)</f>
        <v/>
      </c>
    </row>
    <row r="73" spans="1:6" ht="18.75">
      <c r="A73" s="18" t="s">
        <v>124</v>
      </c>
      <c r="B73" s="62" t="str">
        <f>IFERROR(
                     VLOOKUP($A73,
                                          '[1]Order form'!$A$20:$L$115,
                                           7,
                                          FALSE),
                     "")</f>
        <v/>
      </c>
      <c r="C73" s="76" t="str">
        <f>IFERROR(
                     VLOOKUP($A73,
                                          '[1]Order form'!$A$20:$L$115,
                                           10,
                                          FALSE),
                     "")</f>
        <v/>
      </c>
      <c r="D73" s="11" t="str">
        <f>IFERROR(
                     VLOOKUP($A73,
                                          '[1]Order form'!$A$20:$L$115,
                                           4,
                                          FALSE),
                     "")</f>
        <v/>
      </c>
      <c r="E73" s="11"/>
      <c r="F73" s="12" t="str">
        <f>IF(C73="","",
    IF(E73&lt;&gt;"",
        C73&amp;"-"&amp;D73&amp;"-"&amp;E73&amp;"-"&amp;A73,
        IF(LEFT(C73,3)="POS",
            C73&amp;"-"&amp;A73,
            IF(AND(B73&lt;&gt;"",NOT(ISNUMBER(--B73))),
                IFERROR(
                    VLOOKUP($A73,
                    '[1]Order form'!$A$20:$L$115,
                    12,FALSE),
                ""),
                C73&amp;"-"&amp;D73&amp;"-"&amp;A73
            )
        )
    )
)</f>
        <v/>
      </c>
    </row>
    <row r="74" spans="1:6" ht="18.75">
      <c r="A74" s="18" t="s">
        <v>0</v>
      </c>
      <c r="B74" s="62" t="str">
        <f>IFERROR(
                     VLOOKUP($A74,
                                          '[1]Order form'!$A$20:$L$115,
                                           7,
                                          FALSE),
                     "")</f>
        <v/>
      </c>
      <c r="C74" s="76" t="str">
        <f>IFERROR(
                     VLOOKUP($A74,
                                          '[1]Order form'!$A$20:$L$115,
                                           10,
                                          FALSE),
                     "")</f>
        <v/>
      </c>
      <c r="D74" s="11" t="str">
        <f>IFERROR(
                     VLOOKUP($A74,
                                          '[1]Order form'!$A$20:$L$115,
                                           4,
                                          FALSE),
                     "")</f>
        <v/>
      </c>
      <c r="E74" s="11"/>
      <c r="F74" s="12" t="str">
        <f>IF(C74="","",
    IF(E74&lt;&gt;"",
        C74&amp;"-"&amp;D74&amp;"-"&amp;E74&amp;"-"&amp;A74,
        IF(LEFT(C74,3)="POS",
            C74&amp;"-"&amp;A74,
            IF(AND(B74&lt;&gt;"",NOT(ISNUMBER(--B74))),
                IFERROR(
                    VLOOKUP($A74,
                    '[1]Order form'!$A$20:$L$115,
                    12,FALSE),
                ""),
                C74&amp;"-"&amp;D74&amp;"-"&amp;A74
            )
        )
    )
)</f>
        <v/>
      </c>
    </row>
    <row r="75" spans="1:6" ht="18.75">
      <c r="A75" s="18" t="s">
        <v>3</v>
      </c>
      <c r="B75" s="62" t="str">
        <f>IFERROR(
                     VLOOKUP($A75,
                                          '[1]Order form'!$A$20:$L$115,
                                           7,
                                          FALSE),
                     "")</f>
        <v/>
      </c>
      <c r="C75" s="76" t="str">
        <f>IFERROR(
                     VLOOKUP($A75,
                                          '[1]Order form'!$A$20:$L$115,
                                           10,
                                          FALSE),
                     "")</f>
        <v/>
      </c>
      <c r="D75" s="11" t="str">
        <f>IFERROR(
                     VLOOKUP($A75,
                                          '[1]Order form'!$A$20:$L$115,
                                           4,
                                          FALSE),
                     "")</f>
        <v/>
      </c>
      <c r="E75" s="11"/>
      <c r="F75" s="12" t="str">
        <f>IF(C75="","",
    IF(E75&lt;&gt;"",
        C75&amp;"-"&amp;D75&amp;"-"&amp;E75&amp;"-"&amp;A75,
        IF(LEFT(C75,3)="POS",
            C75&amp;"-"&amp;A75,
            IF(AND(B75&lt;&gt;"",NOT(ISNUMBER(--B75))),
                IFERROR(
                    VLOOKUP($A75,
                    '[1]Order form'!$A$20:$L$115,
                    12,FALSE),
                ""),
                C75&amp;"-"&amp;D75&amp;"-"&amp;A75
            )
        )
    )
)</f>
        <v/>
      </c>
    </row>
    <row r="76" spans="1:6" ht="18.75">
      <c r="A76" s="18" t="s">
        <v>6</v>
      </c>
      <c r="B76" s="62" t="str">
        <f>IFERROR(
                     VLOOKUP($A76,
                                          '[1]Order form'!$A$20:$L$115,
                                           7,
                                          FALSE),
                     "")</f>
        <v/>
      </c>
      <c r="C76" s="76" t="str">
        <f>IFERROR(
                     VLOOKUP($A76,
                                          '[1]Order form'!$A$20:$L$115,
                                           10,
                                          FALSE),
                     "")</f>
        <v/>
      </c>
      <c r="D76" s="11" t="str">
        <f>IFERROR(
                     VLOOKUP($A76,
                                          '[1]Order form'!$A$20:$L$115,
                                           4,
                                          FALSE),
                     "")</f>
        <v/>
      </c>
      <c r="E76" s="11"/>
      <c r="F76" s="12" t="str">
        <f>IF(C76="","",
    IF(E76&lt;&gt;"",
        C76&amp;"-"&amp;D76&amp;"-"&amp;E76&amp;"-"&amp;A76,
        IF(LEFT(C76,3)="POS",
            C76&amp;"-"&amp;A76,
            IF(AND(B76&lt;&gt;"",NOT(ISNUMBER(--B76))),
                IFERROR(
                    VLOOKUP($A76,
                    '[1]Order form'!$A$20:$L$115,
                    12,FALSE),
                ""),
                C76&amp;"-"&amp;D76&amp;"-"&amp;A76
            )
        )
    )
)</f>
        <v/>
      </c>
    </row>
    <row r="77" spans="1:6" ht="18.75">
      <c r="A77" s="18" t="s">
        <v>9</v>
      </c>
      <c r="B77" s="62" t="str">
        <f>IFERROR(
                     VLOOKUP($A77,
                                          '[1]Order form'!$A$20:$L$115,
                                           7,
                                          FALSE),
                     "")</f>
        <v/>
      </c>
      <c r="C77" s="76" t="str">
        <f>IFERROR(
                     VLOOKUP($A77,
                                          '[1]Order form'!$A$20:$L$115,
                                           10,
                                          FALSE),
                     "")</f>
        <v/>
      </c>
      <c r="D77" s="11" t="str">
        <f>IFERROR(
                     VLOOKUP($A77,
                                          '[1]Order form'!$A$20:$L$115,
                                           4,
                                          FALSE),
                     "")</f>
        <v/>
      </c>
      <c r="E77" s="11"/>
      <c r="F77" s="12" t="str">
        <f>IF(C77="","",
    IF(E77&lt;&gt;"",
        C77&amp;"-"&amp;D77&amp;"-"&amp;E77&amp;"-"&amp;A77,
        IF(LEFT(C77,3)="POS",
            C77&amp;"-"&amp;A77,
            IF(AND(B77&lt;&gt;"",NOT(ISNUMBER(--B77))),
                IFERROR(
                    VLOOKUP($A77,
                    '[1]Order form'!$A$20:$L$115,
                    12,FALSE),
                ""),
                C77&amp;"-"&amp;D77&amp;"-"&amp;A77
            )
        )
    )
)</f>
        <v/>
      </c>
    </row>
    <row r="78" spans="1:6" ht="18.75">
      <c r="A78" s="18" t="s">
        <v>12</v>
      </c>
      <c r="B78" s="62" t="str">
        <f>IFERROR(
                     VLOOKUP($A78,
                                          '[1]Order form'!$A$20:$L$115,
                                           7,
                                          FALSE),
                     "")</f>
        <v/>
      </c>
      <c r="C78" s="76" t="str">
        <f>IFERROR(
                     VLOOKUP($A78,
                                          '[1]Order form'!$A$20:$L$115,
                                           10,
                                          FALSE),
                     "")</f>
        <v/>
      </c>
      <c r="D78" s="11" t="str">
        <f>IFERROR(
                     VLOOKUP($A78,
                                          '[1]Order form'!$A$20:$L$115,
                                           4,
                                          FALSE),
                     "")</f>
        <v/>
      </c>
      <c r="E78" s="11"/>
      <c r="F78" s="12" t="str">
        <f>IF(C78="","",
    IF(E78&lt;&gt;"",
        C78&amp;"-"&amp;D78&amp;"-"&amp;E78&amp;"-"&amp;A78,
        IF(LEFT(C78,3)="POS",
            C78&amp;"-"&amp;A78,
            IF(AND(B78&lt;&gt;"",NOT(ISNUMBER(--B78))),
                IFERROR(
                    VLOOKUP($A78,
                    '[1]Order form'!$A$20:$L$115,
                    12,FALSE),
                ""),
                C78&amp;"-"&amp;D78&amp;"-"&amp;A78
            )
        )
    )
)</f>
        <v/>
      </c>
    </row>
    <row r="79" spans="1:6" ht="18.75">
      <c r="A79" s="18" t="s">
        <v>15</v>
      </c>
      <c r="B79" s="62" t="str">
        <f>IFERROR(
                     VLOOKUP($A79,
                                          '[1]Order form'!$A$20:$L$115,
                                           7,
                                          FALSE),
                     "")</f>
        <v/>
      </c>
      <c r="C79" s="76" t="str">
        <f>IFERROR(
                     VLOOKUP($A79,
                                          '[1]Order form'!$A$20:$L$115,
                                           10,
                                          FALSE),
                     "")</f>
        <v/>
      </c>
      <c r="D79" s="11" t="str">
        <f>IFERROR(
                     VLOOKUP($A79,
                                          '[1]Order form'!$A$20:$L$115,
                                           4,
                                          FALSE),
                     "")</f>
        <v/>
      </c>
      <c r="E79" s="11"/>
      <c r="F79" s="12" t="str">
        <f>IF(C79="","",
    IF(E79&lt;&gt;"",
        C79&amp;"-"&amp;D79&amp;"-"&amp;E79&amp;"-"&amp;A79,
        IF(LEFT(C79,3)="POS",
            C79&amp;"-"&amp;A79,
            IF(AND(B79&lt;&gt;"",NOT(ISNUMBER(--B79))),
                IFERROR(
                    VLOOKUP($A79,
                    '[1]Order form'!$A$20:$L$115,
                    12,FALSE),
                ""),
                C79&amp;"-"&amp;D79&amp;"-"&amp;A79
            )
        )
    )
)</f>
        <v/>
      </c>
    </row>
    <row r="80" spans="1:6" ht="18.75">
      <c r="A80" s="18" t="s">
        <v>18</v>
      </c>
      <c r="B80" s="62" t="str">
        <f>IFERROR(
                     VLOOKUP($A80,
                                          '[1]Order form'!$A$20:$L$115,
                                           7,
                                          FALSE),
                     "")</f>
        <v/>
      </c>
      <c r="C80" s="76" t="str">
        <f>IFERROR(
                     VLOOKUP($A80,
                                          '[1]Order form'!$A$20:$L$115,
                                           10,
                                          FALSE),
                     "")</f>
        <v/>
      </c>
      <c r="D80" s="11" t="str">
        <f>IFERROR(
                     VLOOKUP($A80,
                                          '[1]Order form'!$A$20:$L$115,
                                           4,
                                          FALSE),
                     "")</f>
        <v/>
      </c>
      <c r="E80" s="11"/>
      <c r="F80" s="12" t="str">
        <f>IF(C80="","",
    IF(E80&lt;&gt;"",
        C80&amp;"-"&amp;D80&amp;"-"&amp;E80&amp;"-"&amp;A80,
        IF(LEFT(C80,3)="POS",
            C80&amp;"-"&amp;A80,
            IF(AND(B80&lt;&gt;"",NOT(ISNUMBER(--B80))),
                IFERROR(
                    VLOOKUP($A80,
                    '[1]Order form'!$A$20:$L$115,
                    12,FALSE),
                ""),
                C80&amp;"-"&amp;D80&amp;"-"&amp;A80
            )
        )
    )
)</f>
        <v/>
      </c>
    </row>
    <row r="81" spans="1:6" ht="18.75">
      <c r="A81" s="18" t="s">
        <v>21</v>
      </c>
      <c r="B81" s="62" t="str">
        <f>IFERROR(
                     VLOOKUP($A81,
                                          '[1]Order form'!$A$20:$L$115,
                                           7,
                                          FALSE),
                     "")</f>
        <v/>
      </c>
      <c r="C81" s="76" t="str">
        <f>IFERROR(
                     VLOOKUP($A81,
                                          '[1]Order form'!$A$20:$L$115,
                                           10,
                                          FALSE),
                     "")</f>
        <v/>
      </c>
      <c r="D81" s="11" t="str">
        <f>IFERROR(
                     VLOOKUP($A81,
                                          '[1]Order form'!$A$20:$L$115,
                                           4,
                                          FALSE),
                     "")</f>
        <v/>
      </c>
      <c r="E81" s="11"/>
      <c r="F81" s="12" t="str">
        <f>IF(C81="","",
    IF(E81&lt;&gt;"",
        C81&amp;"-"&amp;D81&amp;"-"&amp;E81&amp;"-"&amp;A81,
        IF(LEFT(C81,3)="POS",
            C81&amp;"-"&amp;A81,
            IF(AND(B81&lt;&gt;"",NOT(ISNUMBER(--B81))),
                IFERROR(
                    VLOOKUP($A81,
                    '[1]Order form'!$A$20:$L$115,
                    12,FALSE),
                ""),
                C81&amp;"-"&amp;D81&amp;"-"&amp;A81
            )
        )
    )
)</f>
        <v/>
      </c>
    </row>
    <row r="82" spans="1:6" ht="18.75">
      <c r="A82" s="18" t="s">
        <v>1</v>
      </c>
      <c r="B82" s="62" t="str">
        <f>IFERROR(
                     VLOOKUP($A82,
                                          '[1]Order form'!$A$20:$L$115,
                                           7,
                                          FALSE),
                     "")</f>
        <v/>
      </c>
      <c r="C82" s="76" t="str">
        <f>IFERROR(
                     VLOOKUP($A82,
                                          '[1]Order form'!$A$20:$L$115,
                                           10,
                                          FALSE),
                     "")</f>
        <v/>
      </c>
      <c r="D82" s="11" t="str">
        <f>IFERROR(
                     VLOOKUP($A82,
                                          '[1]Order form'!$A$20:$L$115,
                                           4,
                                          FALSE),
                     "")</f>
        <v/>
      </c>
      <c r="E82" s="11"/>
      <c r="F82" s="12" t="str">
        <f>IF(C82="","",
    IF(E82&lt;&gt;"",
        C82&amp;"-"&amp;D82&amp;"-"&amp;E82&amp;"-"&amp;A82,
        IF(LEFT(C82,3)="POS",
            C82&amp;"-"&amp;A82,
            IF(AND(B82&lt;&gt;"",NOT(ISNUMBER(--B82))),
                IFERROR(
                    VLOOKUP($A82,
                    '[1]Order form'!$A$20:$L$115,
                    12,FALSE),
                ""),
                C82&amp;"-"&amp;D82&amp;"-"&amp;A82
            )
        )
    )
)</f>
        <v/>
      </c>
    </row>
    <row r="83" spans="1:6" ht="18.75">
      <c r="A83" s="18" t="s">
        <v>4</v>
      </c>
      <c r="B83" s="62" t="str">
        <f>IFERROR(
                     VLOOKUP($A83,
                                          '[1]Order form'!$A$20:$L$115,
                                           7,
                                          FALSE),
                     "")</f>
        <v/>
      </c>
      <c r="C83" s="76" t="str">
        <f>IFERROR(
                     VLOOKUP($A83,
                                          '[1]Order form'!$A$20:$L$115,
                                           10,
                                          FALSE),
                     "")</f>
        <v/>
      </c>
      <c r="D83" s="11" t="str">
        <f>IFERROR(
                     VLOOKUP($A83,
                                          '[1]Order form'!$A$20:$L$115,
                                           4,
                                          FALSE),
                     "")</f>
        <v/>
      </c>
      <c r="E83" s="11"/>
      <c r="F83" s="12" t="str">
        <f>IF(C83="","",
    IF(E83&lt;&gt;"",
        C83&amp;"-"&amp;D83&amp;"-"&amp;E83&amp;"-"&amp;A83,
        IF(LEFT(C83,3)="POS",
            C83&amp;"-"&amp;A83,
            IF(AND(B83&lt;&gt;"",NOT(ISNUMBER(--B83))),
                IFERROR(
                    VLOOKUP($A83,
                    '[1]Order form'!$A$20:$L$115,
                    12,FALSE),
                ""),
                C83&amp;"-"&amp;D83&amp;"-"&amp;A83
            )
        )
    )
)</f>
        <v/>
      </c>
    </row>
    <row r="84" spans="1:6" ht="18.75">
      <c r="A84" s="18" t="s">
        <v>7</v>
      </c>
      <c r="B84" s="62" t="str">
        <f>IFERROR(
                     VLOOKUP($A84,
                                          '[1]Order form'!$A$20:$L$115,
                                           7,
                                          FALSE),
                     "")</f>
        <v/>
      </c>
      <c r="C84" s="76" t="str">
        <f>IFERROR(
                     VLOOKUP($A84,
                                          '[1]Order form'!$A$20:$L$115,
                                           10,
                                          FALSE),
                     "")</f>
        <v/>
      </c>
      <c r="D84" s="11" t="str">
        <f>IFERROR(
                     VLOOKUP($A84,
                                          '[1]Order form'!$A$20:$L$115,
                                           4,
                                          FALSE),
                     "")</f>
        <v/>
      </c>
      <c r="E84" s="11"/>
      <c r="F84" s="12" t="str">
        <f>IF(C84="","",
    IF(E84&lt;&gt;"",
        C84&amp;"-"&amp;D84&amp;"-"&amp;E84&amp;"-"&amp;A84,
        IF(LEFT(C84,3)="POS",
            C84&amp;"-"&amp;A84,
            IF(AND(B84&lt;&gt;"",NOT(ISNUMBER(--B84))),
                IFERROR(
                    VLOOKUP($A84,
                    '[1]Order form'!$A$20:$L$115,
                    12,FALSE),
                ""),
                C84&amp;"-"&amp;D84&amp;"-"&amp;A84
            )
        )
    )
)</f>
        <v/>
      </c>
    </row>
    <row r="85" spans="1:6" ht="18.75">
      <c r="A85" s="18" t="s">
        <v>10</v>
      </c>
      <c r="B85" s="62" t="str">
        <f>IFERROR(
                     VLOOKUP($A85,
                                          '[1]Order form'!$A$20:$L$115,
                                           7,
                                          FALSE),
                     "")</f>
        <v/>
      </c>
      <c r="C85" s="76" t="str">
        <f>IFERROR(
                     VLOOKUP($A85,
                                          '[1]Order form'!$A$20:$L$115,
                                           10,
                                          FALSE),
                     "")</f>
        <v/>
      </c>
      <c r="D85" s="11" t="str">
        <f>IFERROR(
                     VLOOKUP($A85,
                                          '[1]Order form'!$A$20:$L$115,
                                           4,
                                          FALSE),
                     "")</f>
        <v/>
      </c>
      <c r="E85" s="11"/>
      <c r="F85" s="12" t="str">
        <f>IF(C85="","",
    IF(E85&lt;&gt;"",
        C85&amp;"-"&amp;D85&amp;"-"&amp;E85&amp;"-"&amp;A85,
        IF(LEFT(C85,3)="POS",
            C85&amp;"-"&amp;A85,
            IF(AND(B85&lt;&gt;"",NOT(ISNUMBER(--B85))),
                IFERROR(
                    VLOOKUP($A85,
                    '[1]Order form'!$A$20:$L$115,
                    12,FALSE),
                ""),
                C85&amp;"-"&amp;D85&amp;"-"&amp;A85
            )
        )
    )
)</f>
        <v/>
      </c>
    </row>
    <row r="86" spans="1:6" ht="18.75">
      <c r="A86" s="18" t="s">
        <v>13</v>
      </c>
      <c r="B86" s="62" t="str">
        <f>IFERROR(
                     VLOOKUP($A86,
                                          '[1]Order form'!$A$20:$L$115,
                                           7,
                                          FALSE),
                     "")</f>
        <v/>
      </c>
      <c r="C86" s="76" t="str">
        <f>IFERROR(
                     VLOOKUP($A86,
                                          '[1]Order form'!$A$20:$L$115,
                                           10,
                                          FALSE),
                     "")</f>
        <v/>
      </c>
      <c r="D86" s="11" t="str">
        <f>IFERROR(
                     VLOOKUP($A86,
                                          '[1]Order form'!$A$20:$L$115,
                                           4,
                                          FALSE),
                     "")</f>
        <v/>
      </c>
      <c r="E86" s="11"/>
      <c r="F86" s="12" t="str">
        <f>IF(C86="","",
    IF(E86&lt;&gt;"",
        C86&amp;"-"&amp;D86&amp;"-"&amp;E86&amp;"-"&amp;A86,
        IF(LEFT(C86,3)="POS",
            C86&amp;"-"&amp;A86,
            IF(AND(B86&lt;&gt;"",NOT(ISNUMBER(--B86))),
                IFERROR(
                    VLOOKUP($A86,
                    '[1]Order form'!$A$20:$L$115,
                    12,FALSE),
                ""),
                C86&amp;"-"&amp;D86&amp;"-"&amp;A86
            )
        )
    )
)</f>
        <v/>
      </c>
    </row>
    <row r="87" spans="1:6" ht="18.75">
      <c r="A87" s="18" t="s">
        <v>16</v>
      </c>
      <c r="B87" s="62" t="str">
        <f>IFERROR(
                     VLOOKUP($A87,
                                          '[1]Order form'!$A$20:$L$115,
                                           7,
                                          FALSE),
                     "")</f>
        <v/>
      </c>
      <c r="C87" s="76" t="str">
        <f>IFERROR(
                     VLOOKUP($A87,
                                          '[1]Order form'!$A$20:$L$115,
                                           10,
                                          FALSE),
                     "")</f>
        <v/>
      </c>
      <c r="D87" s="11" t="str">
        <f>IFERROR(
                     VLOOKUP($A87,
                                          '[1]Order form'!$A$20:$L$115,
                                           4,
                                          FALSE),
                     "")</f>
        <v/>
      </c>
      <c r="E87" s="11"/>
      <c r="F87" s="12" t="str">
        <f>IF(C87="","",
    IF(E87&lt;&gt;"",
        C87&amp;"-"&amp;D87&amp;"-"&amp;E87&amp;"-"&amp;A87,
        IF(LEFT(C87,3)="POS",
            C87&amp;"-"&amp;A87,
            IF(AND(B87&lt;&gt;"",NOT(ISNUMBER(--B87))),
                IFERROR(
                    VLOOKUP($A87,
                    '[1]Order form'!$A$20:$L$115,
                    12,FALSE),
                ""),
                C87&amp;"-"&amp;D87&amp;"-"&amp;A87
            )
        )
    )
)</f>
        <v/>
      </c>
    </row>
    <row r="88" spans="1:6" ht="18.75">
      <c r="A88" s="18" t="s">
        <v>19</v>
      </c>
      <c r="B88" s="62" t="str">
        <f>IFERROR(
                     VLOOKUP($A88,
                                          '[1]Order form'!$A$20:$L$115,
                                           7,
                                          FALSE),
                     "")</f>
        <v/>
      </c>
      <c r="C88" s="76" t="str">
        <f>IFERROR(
                     VLOOKUP($A88,
                                          '[1]Order form'!$A$20:$L$115,
                                           10,
                                          FALSE),
                     "")</f>
        <v/>
      </c>
      <c r="D88" s="11" t="str">
        <f>IFERROR(
                     VLOOKUP($A88,
                                          '[1]Order form'!$A$20:$L$115,
                                           4,
                                          FALSE),
                     "")</f>
        <v/>
      </c>
      <c r="E88" s="11"/>
      <c r="F88" s="12" t="str">
        <f>IF(C88="","",
    IF(E88&lt;&gt;"",
        C88&amp;"-"&amp;D88&amp;"-"&amp;E88&amp;"-"&amp;A88,
        IF(LEFT(C88,3)="POS",
            C88&amp;"-"&amp;A88,
            IF(AND(B88&lt;&gt;"",NOT(ISNUMBER(--B88))),
                IFERROR(
                    VLOOKUP($A88,
                    '[1]Order form'!$A$20:$L$115,
                    12,FALSE),
                ""),
                C88&amp;"-"&amp;D88&amp;"-"&amp;A88
            )
        )
    )
)</f>
        <v/>
      </c>
    </row>
    <row r="89" spans="1:6" ht="18.75">
      <c r="A89" s="18" t="s">
        <v>22</v>
      </c>
      <c r="B89" s="62" t="str">
        <f>IFERROR(
                     VLOOKUP($A89,
                                          '[1]Order form'!$A$20:$L$115,
                                           7,
                                          FALSE),
                     "")</f>
        <v/>
      </c>
      <c r="C89" s="76" t="str">
        <f>IFERROR(
                     VLOOKUP($A89,
                                          '[1]Order form'!$A$20:$L$115,
                                           10,
                                          FALSE),
                     "")</f>
        <v/>
      </c>
      <c r="D89" s="11" t="str">
        <f>IFERROR(
                     VLOOKUP($A89,
                                          '[1]Order form'!$A$20:$L$115,
                                           4,
                                          FALSE),
                     "")</f>
        <v/>
      </c>
      <c r="E89" s="11"/>
      <c r="F89" s="12" t="str">
        <f>IF(C89="","",
    IF(E89&lt;&gt;"",
        C89&amp;"-"&amp;D89&amp;"-"&amp;E89&amp;"-"&amp;A89,
        IF(LEFT(C89,3)="POS",
            C89&amp;"-"&amp;A89,
            IF(AND(B89&lt;&gt;"",NOT(ISNUMBER(--B89))),
                IFERROR(
                    VLOOKUP($A89,
                    '[1]Order form'!$A$20:$L$115,
                    12,FALSE),
                ""),
                C89&amp;"-"&amp;D89&amp;"-"&amp;A89
            )
        )
    )
)</f>
        <v/>
      </c>
    </row>
    <row r="90" spans="1:6" ht="18.75">
      <c r="A90" s="18" t="s">
        <v>2</v>
      </c>
      <c r="B90" s="62" t="str">
        <f>IFERROR(
                     VLOOKUP($A90,
                                          '[1]Order form'!$A$20:$L$115,
                                           7,
                                          FALSE),
                     "")</f>
        <v/>
      </c>
      <c r="C90" s="76" t="str">
        <f>IFERROR(
                     VLOOKUP($A90,
                                          '[1]Order form'!$A$20:$L$115,
                                           10,
                                          FALSE),
                     "")</f>
        <v/>
      </c>
      <c r="D90" s="11" t="str">
        <f>IFERROR(
                     VLOOKUP($A90,
                                          '[1]Order form'!$A$20:$L$115,
                                           4,
                                          FALSE),
                     "")</f>
        <v/>
      </c>
      <c r="E90" s="11"/>
      <c r="F90" s="12" t="str">
        <f>IF(C90="","",
    IF(E90&lt;&gt;"",
        C90&amp;"-"&amp;D90&amp;"-"&amp;E90&amp;"-"&amp;A90,
        IF(LEFT(C90,3)="POS",
            C90&amp;"-"&amp;A90,
            IF(AND(B90&lt;&gt;"",NOT(ISNUMBER(--B90))),
                IFERROR(
                    VLOOKUP($A90,
                    '[1]Order form'!$A$20:$L$115,
                    12,FALSE),
                ""),
                C90&amp;"-"&amp;D90&amp;"-"&amp;A90
            )
        )
    )
)</f>
        <v/>
      </c>
    </row>
    <row r="91" spans="1:6" ht="18.75">
      <c r="A91" s="18" t="s">
        <v>5</v>
      </c>
      <c r="B91" s="62" t="str">
        <f>IFERROR(
                     VLOOKUP($A91,
                                          '[1]Order form'!$A$20:$L$115,
                                           7,
                                          FALSE),
                     "")</f>
        <v/>
      </c>
      <c r="C91" s="76" t="str">
        <f>IFERROR(
                     VLOOKUP($A91,
                                          '[1]Order form'!$A$20:$L$115,
                                           10,
                                          FALSE),
                     "")</f>
        <v/>
      </c>
      <c r="D91" s="11" t="str">
        <f>IFERROR(
                     VLOOKUP($A91,
                                          '[1]Order form'!$A$20:$L$115,
                                           4,
                                          FALSE),
                     "")</f>
        <v/>
      </c>
      <c r="E91" s="11"/>
      <c r="F91" s="12" t="str">
        <f>IF(C91="","",
    IF(E91&lt;&gt;"",
        C91&amp;"-"&amp;D91&amp;"-"&amp;E91&amp;"-"&amp;A91,
        IF(LEFT(C91,3)="POS",
            C91&amp;"-"&amp;A91,
            IF(AND(B91&lt;&gt;"",NOT(ISNUMBER(--B91))),
                IFERROR(
                    VLOOKUP($A91,
                    '[1]Order form'!$A$20:$L$115,
                    12,FALSE),
                ""),
                C91&amp;"-"&amp;D91&amp;"-"&amp;A91
            )
        )
    )
)</f>
        <v/>
      </c>
    </row>
    <row r="92" spans="1:6" ht="18.75">
      <c r="A92" s="18" t="s">
        <v>8</v>
      </c>
      <c r="B92" s="62" t="str">
        <f>IFERROR(
                     VLOOKUP($A92,
                                          '[1]Order form'!$A$20:$L$115,
                                           7,
                                          FALSE),
                     "")</f>
        <v/>
      </c>
      <c r="C92" s="76" t="str">
        <f>IFERROR(
                     VLOOKUP($A92,
                                          '[1]Order form'!$A$20:$L$115,
                                           10,
                                          FALSE),
                     "")</f>
        <v/>
      </c>
      <c r="D92" s="11" t="str">
        <f>IFERROR(
                     VLOOKUP($A92,
                                          '[1]Order form'!$A$20:$L$115,
                                           4,
                                          FALSE),
                     "")</f>
        <v/>
      </c>
      <c r="E92" s="11"/>
      <c r="F92" s="12" t="str">
        <f>IF(C92="","",
    IF(E92&lt;&gt;"",
        C92&amp;"-"&amp;D92&amp;"-"&amp;E92&amp;"-"&amp;A92,
        IF(LEFT(C92,3)="POS",
            C92&amp;"-"&amp;A92,
            IF(AND(B92&lt;&gt;"",NOT(ISNUMBER(--B92))),
                IFERROR(
                    VLOOKUP($A92,
                    '[1]Order form'!$A$20:$L$115,
                    12,FALSE),
                ""),
                C92&amp;"-"&amp;D92&amp;"-"&amp;A92
            )
        )
    )
)</f>
        <v/>
      </c>
    </row>
    <row r="93" spans="1:6" ht="18.75">
      <c r="A93" s="18" t="s">
        <v>11</v>
      </c>
      <c r="B93" s="62" t="str">
        <f>IFERROR(
                     VLOOKUP($A93,
                                          '[1]Order form'!$A$20:$L$115,
                                           7,
                                          FALSE),
                     "")</f>
        <v/>
      </c>
      <c r="C93" s="76" t="str">
        <f>IFERROR(
                     VLOOKUP($A93,
                                          '[1]Order form'!$A$20:$L$115,
                                           10,
                                          FALSE),
                     "")</f>
        <v/>
      </c>
      <c r="D93" s="11" t="str">
        <f>IFERROR(
                     VLOOKUP($A93,
                                          '[1]Order form'!$A$20:$L$115,
                                           4,
                                          FALSE),
                     "")</f>
        <v/>
      </c>
      <c r="E93" s="11"/>
      <c r="F93" s="12" t="str">
        <f>IF(C93="","",
    IF(E93&lt;&gt;"",
        C93&amp;"-"&amp;D93&amp;"-"&amp;E93&amp;"-"&amp;A93,
        IF(LEFT(C93,3)="POS",
            C93&amp;"-"&amp;A93,
            IF(AND(B93&lt;&gt;"",NOT(ISNUMBER(--B93))),
                IFERROR(
                    VLOOKUP($A93,
                    '[1]Order form'!$A$20:$L$115,
                    12,FALSE),
                ""),
                C93&amp;"-"&amp;D93&amp;"-"&amp;A93
            )
        )
    )
)</f>
        <v/>
      </c>
    </row>
    <row r="94" spans="1:6" ht="18.75">
      <c r="A94" s="18" t="s">
        <v>14</v>
      </c>
      <c r="B94" s="62" t="str">
        <f>IFERROR(
                     VLOOKUP($A94,
                                          '[1]Order form'!$A$20:$L$115,
                                           7,
                                          FALSE),
                     "")</f>
        <v/>
      </c>
      <c r="C94" s="76" t="str">
        <f>IFERROR(
                     VLOOKUP($A94,
                                          '[1]Order form'!$A$20:$L$115,
                                           10,
                                          FALSE),
                     "")</f>
        <v/>
      </c>
      <c r="D94" s="11" t="str">
        <f>IFERROR(
                     VLOOKUP($A94,
                                          '[1]Order form'!$A$20:$L$115,
                                           4,
                                          FALSE),
                     "")</f>
        <v/>
      </c>
      <c r="E94" s="11"/>
      <c r="F94" s="12" t="str">
        <f>IF(C94="","",
    IF(E94&lt;&gt;"",
        C94&amp;"-"&amp;D94&amp;"-"&amp;E94&amp;"-"&amp;A94,
        IF(LEFT(C94,3)="POS",
            C94&amp;"-"&amp;A94,
            IF(AND(B94&lt;&gt;"",NOT(ISNUMBER(--B94))),
                IFERROR(
                    VLOOKUP($A94,
                    '[1]Order form'!$A$20:$L$115,
                    12,FALSE),
                ""),
                C94&amp;"-"&amp;D94&amp;"-"&amp;A94
            )
        )
    )
)</f>
        <v/>
      </c>
    </row>
    <row r="95" spans="1:6" ht="18.75">
      <c r="A95" s="18" t="s">
        <v>17</v>
      </c>
      <c r="B95" s="62" t="str">
        <f>IFERROR(
                     VLOOKUP($A95,
                                          '[1]Order form'!$A$20:$L$115,
                                           7,
                                          FALSE),
                     "")</f>
        <v/>
      </c>
      <c r="C95" s="76" t="str">
        <f>IFERROR(
                     VLOOKUP($A95,
                                          '[1]Order form'!$A$20:$L$115,
                                           10,
                                          FALSE),
                     "")</f>
        <v/>
      </c>
      <c r="D95" s="11" t="str">
        <f>IFERROR(
                     VLOOKUP($A95,
                                          '[1]Order form'!$A$20:$L$115,
                                           4,
                                          FALSE),
                     "")</f>
        <v/>
      </c>
      <c r="E95" s="11"/>
      <c r="F95" s="12" t="str">
        <f>IF(C95="","",
    IF(E95&lt;&gt;"",
        C95&amp;"-"&amp;D95&amp;"-"&amp;E95&amp;"-"&amp;A95,
        IF(LEFT(C95,3)="POS",
            C95&amp;"-"&amp;A95,
            IF(AND(B95&lt;&gt;"",NOT(ISNUMBER(--B95))),
                IFERROR(
                    VLOOKUP($A95,
                    '[1]Order form'!$A$20:$L$115,
                    12,FALSE),
                ""),
                C95&amp;"-"&amp;D95&amp;"-"&amp;A95
            )
        )
    )
)</f>
        <v/>
      </c>
    </row>
    <row r="96" spans="1:6" ht="18.75">
      <c r="A96" s="18" t="s">
        <v>20</v>
      </c>
      <c r="B96" s="62" t="str">
        <f>IFERROR(
                     VLOOKUP($A96,
                                          '[1]Order form'!$A$20:$L$115,
                                           7,
                                          FALSE),
                     "")</f>
        <v/>
      </c>
      <c r="C96" s="76" t="str">
        <f>IFERROR(
                     VLOOKUP($A96,
                                          '[1]Order form'!$A$20:$L$115,
                                           10,
                                          FALSE),
                     "")</f>
        <v/>
      </c>
      <c r="D96" s="11" t="str">
        <f>IFERROR(
                     VLOOKUP($A96,
                                          '[1]Order form'!$A$20:$L$115,
                                           4,
                                          FALSE),
                     "")</f>
        <v/>
      </c>
      <c r="E96" s="11"/>
      <c r="F96" s="12" t="str">
        <f>IF(C96="","",
    IF(E96&lt;&gt;"",
        C96&amp;"-"&amp;D96&amp;"-"&amp;E96&amp;"-"&amp;A96,
        IF(LEFT(C96,3)="POS",
            C96&amp;"-"&amp;A96,
            IF(AND(B96&lt;&gt;"",NOT(ISNUMBER(--B96))),
                IFERROR(
                    VLOOKUP($A96,
                    '[1]Order form'!$A$20:$L$115,
                    12,FALSE),
                ""),
                C96&amp;"-"&amp;D96&amp;"-"&amp;A96
            )
        )
    )
)</f>
        <v/>
      </c>
    </row>
    <row r="97" spans="1:6" ht="19.5" thickBot="1">
      <c r="A97" s="19" t="s">
        <v>23</v>
      </c>
      <c r="B97" s="63" t="str">
        <f>IFERROR(
                     VLOOKUP($A97,
                                          '[1]Order form'!$A$20:$L$115,
                                           7,
                                          FALSE),
                     "")</f>
        <v/>
      </c>
      <c r="C97" s="77" t="str">
        <f>IFERROR(
                     VLOOKUP($A97,
                                          '[1]Order form'!$A$20:$L$115,
                                           10,
                                          FALSE),
                     "")</f>
        <v/>
      </c>
      <c r="D97" s="13" t="str">
        <f>IFERROR(
                     VLOOKUP($A97,
                                          '[1]Order form'!$A$20:$L$115,
                                           4,
                                          FALSE),
                     "")</f>
        <v/>
      </c>
      <c r="E97" s="13"/>
      <c r="F97" s="14" t="str">
        <f>IF(C97="","",
    IF(E97&lt;&gt;"",
        C97&amp;"-"&amp;D97&amp;"-"&amp;E97&amp;"-"&amp;A97,
        IF(LEFT(C97,3)="POS",
            C97&amp;"-"&amp;A97,
            IF(AND(B97&lt;&gt;"",NOT(ISNUMBER(--B97))),
                IFERROR(
                    VLOOKUP($A97,
                    '[1]Order form'!$A$20:$L$115,
                    12,FALSE),
                ""),
                C97&amp;"-"&amp;D97&amp;"-"&amp;A97
            )
        )
    )
)</f>
        <v/>
      </c>
    </row>
  </sheetData>
  <autoFilter ref="A1:F97">
    <sortState ref="A2:T137">
      <sortCondition ref="A2:A137" customList="A01,B01,C01,D01,E01,F01,G01,H01,A02,B02,C02,D02,E02,F02,G02,H02,A03,B03,C03,D03,E03,F03,G03,H03,A04,B04,C04,D04,E04,F04,G04,H04,A05,B05,C05,D05,E05,F05,G05,H05,A06,B06,C06,D06,E06,F06,G06,H06,A07,B07,C07,D07,E07,F07,G07,H07,A08,B08,C08,D08,E08,F08,G08,H08"/>
    </sortState>
  </autoFilter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P33"/>
  <sheetViews>
    <sheetView zoomScaleNormal="100" zoomScalePageLayoutView="50" workbookViewId="0">
      <selection activeCell="N5" sqref="N5"/>
    </sheetView>
  </sheetViews>
  <sheetFormatPr defaultColWidth="9" defaultRowHeight="15"/>
  <cols>
    <col min="1" max="1" width="6.75" style="2" customWidth="1"/>
    <col min="2" max="13" width="12.625" style="2" customWidth="1"/>
    <col min="14" max="14" width="10.875" style="2" customWidth="1"/>
    <col min="15" max="15" width="10.125" style="2" customWidth="1"/>
    <col min="16" max="16" width="9.25" style="2" bestFit="1" customWidth="1"/>
    <col min="17" max="16384" width="9" style="2"/>
  </cols>
  <sheetData>
    <row r="1" spans="1:16" ht="24" customHeight="1">
      <c r="A1" s="73" t="s">
        <v>129</v>
      </c>
      <c r="B1" s="73"/>
      <c r="C1" s="73"/>
      <c r="D1" s="73"/>
      <c r="E1" s="3"/>
      <c r="F1" s="33" t="s">
        <v>35</v>
      </c>
      <c r="G1" s="35">
        <f ca="1">TODAY()</f>
        <v>46098</v>
      </c>
      <c r="H1" s="34"/>
      <c r="K1" s="32" t="s">
        <v>130</v>
      </c>
      <c r="L1" s="65" t="str">
        <f ca="1">MID(CELL("filename"),SEARCH("[",CELL("filename"))+1,SEARCH("]",CELL("filename"))-SEARCH("[",CELL("filename"))-6)</f>
        <v>Sequencing_layout_v4</v>
      </c>
      <c r="M1" s="65"/>
      <c r="P1" s="4"/>
    </row>
    <row r="2" spans="1:16">
      <c r="A2" s="25"/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  <c r="K2" s="26">
        <v>10</v>
      </c>
      <c r="L2" s="26">
        <v>11</v>
      </c>
      <c r="M2" s="26">
        <v>12</v>
      </c>
    </row>
    <row r="3" spans="1:16">
      <c r="A3" s="70" t="s">
        <v>25</v>
      </c>
      <c r="B3" s="29">
        <f>IF(Data!$B$2="","", Data!$B$2)</f>
        <v>0</v>
      </c>
      <c r="C3" s="29" t="str">
        <f>IF(Data!$B$10="","", Data!$B$10)</f>
        <v/>
      </c>
      <c r="D3" s="29" t="str">
        <f>IF(Data!$B$18="","", Data!$B$18)</f>
        <v/>
      </c>
      <c r="E3" s="29" t="str">
        <f>IF(Data!$B$26="","", Data!$B$26)</f>
        <v/>
      </c>
      <c r="F3" s="29" t="str">
        <f>IF(Data!$B$34="","", Data!$B$34)</f>
        <v/>
      </c>
      <c r="G3" s="29" t="str">
        <f>IF(Data!$B$42="","", Data!$B$42)</f>
        <v/>
      </c>
      <c r="H3" s="29" t="str">
        <f>IF(Data!$B$50="","", Data!$B$50)</f>
        <v/>
      </c>
      <c r="I3" s="29" t="str">
        <f>IF(Data!$B$58="","", Data!$B$58)</f>
        <v/>
      </c>
      <c r="J3" s="29" t="str">
        <f>IF(Data!$B$66="","", Data!$B$66)</f>
        <v/>
      </c>
      <c r="K3" s="29" t="str">
        <f>IF(Data!$B$74="","", Data!$B$74)</f>
        <v/>
      </c>
      <c r="L3" s="29" t="str">
        <f>IF(Data!$B$82="","", Data!$B$82)</f>
        <v/>
      </c>
      <c r="M3" s="29" t="str">
        <f>IF(Data!$B$90="","", Data!$B$90)</f>
        <v/>
      </c>
      <c r="O3" s="29" t="s">
        <v>146</v>
      </c>
    </row>
    <row r="4" spans="1:16">
      <c r="A4" s="71"/>
      <c r="B4" s="30">
        <f>Data!$D$2</f>
        <v>0</v>
      </c>
      <c r="C4" s="30" t="str">
        <f>Data!$D$10</f>
        <v/>
      </c>
      <c r="D4" s="30" t="str">
        <f>Data!$D$18</f>
        <v/>
      </c>
      <c r="E4" s="30" t="str">
        <f>Data!$D$26</f>
        <v/>
      </c>
      <c r="F4" s="30" t="str">
        <f>Data!$D$34</f>
        <v/>
      </c>
      <c r="G4" s="30" t="str">
        <f>Data!$D$42</f>
        <v/>
      </c>
      <c r="H4" s="30" t="str">
        <f>Data!$D$50</f>
        <v/>
      </c>
      <c r="I4" s="30" t="str">
        <f>Data!$D$58</f>
        <v/>
      </c>
      <c r="J4" s="30" t="str">
        <f>Data!$D$66</f>
        <v/>
      </c>
      <c r="K4" s="30" t="str">
        <f>Data!$D$74</f>
        <v/>
      </c>
      <c r="L4" s="30" t="str">
        <f>Data!$D$82</f>
        <v/>
      </c>
      <c r="M4" s="30" t="str">
        <f>Data!$D$90</f>
        <v/>
      </c>
      <c r="O4" s="27" t="s">
        <v>33</v>
      </c>
    </row>
    <row r="5" spans="1:16">
      <c r="A5" s="72"/>
      <c r="B5" s="31" t="str">
        <f>Data!$C$2</f>
        <v xml:space="preserve"> (#A1)</v>
      </c>
      <c r="C5" s="31" t="str">
        <f>Data!$C$10</f>
        <v/>
      </c>
      <c r="D5" s="31" t="str">
        <f>Data!$C$18</f>
        <v/>
      </c>
      <c r="E5" s="31" t="str">
        <f>Data!$C$26</f>
        <v/>
      </c>
      <c r="F5" s="31" t="str">
        <f>Data!$C$34</f>
        <v/>
      </c>
      <c r="G5" s="31" t="str">
        <f>Data!$C$42</f>
        <v/>
      </c>
      <c r="H5" s="31" t="str">
        <f>Data!$C$50</f>
        <v/>
      </c>
      <c r="I5" s="31" t="str">
        <f>Data!$C$58</f>
        <v/>
      </c>
      <c r="J5" s="31" t="str">
        <f>Data!$C$66</f>
        <v/>
      </c>
      <c r="K5" s="31" t="str">
        <f>Data!$C$74</f>
        <v/>
      </c>
      <c r="L5" s="31" t="str">
        <f>Data!$C$82</f>
        <v/>
      </c>
      <c r="M5" s="31" t="str">
        <f>Data!$C$90</f>
        <v/>
      </c>
      <c r="O5" s="28" t="s">
        <v>34</v>
      </c>
    </row>
    <row r="6" spans="1:16">
      <c r="A6" s="70" t="s">
        <v>30</v>
      </c>
      <c r="B6" s="29" t="str">
        <f>IF(Data!$B$3="","", Data!$B$3)</f>
        <v/>
      </c>
      <c r="C6" s="29" t="str">
        <f>IF(Data!$B$11="","", Data!$B$11)</f>
        <v/>
      </c>
      <c r="D6" s="29" t="str">
        <f>IF(Data!$B$19="","", Data!$B$19)</f>
        <v/>
      </c>
      <c r="E6" s="29" t="str">
        <f>IF(Data!$B$27="","", Data!$B$27)</f>
        <v/>
      </c>
      <c r="F6" s="29" t="str">
        <f>IF(Data!$B$35="","", Data!$B$35)</f>
        <v/>
      </c>
      <c r="G6" s="29" t="str">
        <f>IF(Data!$B$43="","", Data!$B$43)</f>
        <v/>
      </c>
      <c r="H6" s="29" t="str">
        <f>IF(Data!$B$51="","", Data!$B$51)</f>
        <v/>
      </c>
      <c r="I6" s="29" t="str">
        <f>IF(Data!$B$59="","", Data!$B$59)</f>
        <v/>
      </c>
      <c r="J6" s="29" t="str">
        <f>IF(Data!$B$67="","", Data!$B$67)</f>
        <v/>
      </c>
      <c r="K6" s="29" t="str">
        <f>IF(Data!$B$75="","", Data!$B$75)</f>
        <v/>
      </c>
      <c r="L6" s="29" t="str">
        <f>IF(Data!$B$83="","", Data!$B$83)</f>
        <v/>
      </c>
      <c r="M6" s="29" t="str">
        <f>IF(Data!$B$91="","", Data!$B$91)</f>
        <v/>
      </c>
    </row>
    <row r="7" spans="1:16">
      <c r="A7" s="71"/>
      <c r="B7" s="30" t="str">
        <f>Data!$D$3</f>
        <v/>
      </c>
      <c r="C7" s="30" t="str">
        <f>Data!$D$11</f>
        <v/>
      </c>
      <c r="D7" s="30" t="str">
        <f>Data!$D$19</f>
        <v/>
      </c>
      <c r="E7" s="30" t="str">
        <f>Data!$D$27</f>
        <v/>
      </c>
      <c r="F7" s="30" t="str">
        <f>Data!$D$35</f>
        <v/>
      </c>
      <c r="G7" s="30" t="str">
        <f>Data!$D$43</f>
        <v/>
      </c>
      <c r="H7" s="30" t="str">
        <f>Data!$D$51</f>
        <v/>
      </c>
      <c r="I7" s="30" t="str">
        <f>Data!$D$59</f>
        <v/>
      </c>
      <c r="J7" s="30" t="str">
        <f>Data!$D$67</f>
        <v/>
      </c>
      <c r="K7" s="30" t="str">
        <f>Data!$D$75</f>
        <v/>
      </c>
      <c r="L7" s="30" t="str">
        <f>Data!$D$83</f>
        <v/>
      </c>
      <c r="M7" s="30" t="str">
        <f>Data!$D$91</f>
        <v/>
      </c>
    </row>
    <row r="8" spans="1:16">
      <c r="A8" s="72"/>
      <c r="B8" s="31" t="str">
        <f>Data!$C$3</f>
        <v/>
      </c>
      <c r="C8" s="31" t="str">
        <f>Data!$C$11</f>
        <v/>
      </c>
      <c r="D8" s="31" t="str">
        <f>Data!$C$19</f>
        <v/>
      </c>
      <c r="E8" s="31" t="str">
        <f>Data!$C$27</f>
        <v/>
      </c>
      <c r="F8" s="31" t="str">
        <f>Data!$C$35</f>
        <v/>
      </c>
      <c r="G8" s="31" t="str">
        <f>Data!$C$43</f>
        <v/>
      </c>
      <c r="H8" s="31" t="str">
        <f>Data!$C$51</f>
        <v/>
      </c>
      <c r="I8" s="31" t="str">
        <f>Data!$C$59</f>
        <v/>
      </c>
      <c r="J8" s="31" t="str">
        <f>Data!$C$67</f>
        <v/>
      </c>
      <c r="K8" s="31" t="str">
        <f>Data!$C$75</f>
        <v/>
      </c>
      <c r="L8" s="31" t="str">
        <f>Data!$C$83</f>
        <v/>
      </c>
      <c r="M8" s="31" t="str">
        <f>Data!$C$91</f>
        <v/>
      </c>
    </row>
    <row r="9" spans="1:16">
      <c r="A9" s="70" t="s">
        <v>31</v>
      </c>
      <c r="B9" s="29" t="str">
        <f>IF(Data!$B$4="","", Data!$B$4)</f>
        <v/>
      </c>
      <c r="C9" s="29" t="str">
        <f>IF(Data!$B$12="","", Data!$B$12)</f>
        <v/>
      </c>
      <c r="D9" s="29" t="str">
        <f>IF(Data!$B$20="","", Data!$B$20)</f>
        <v/>
      </c>
      <c r="E9" s="29" t="str">
        <f>IF(Data!$B$28="","", Data!$B$28)</f>
        <v/>
      </c>
      <c r="F9" s="29" t="str">
        <f>IF(Data!$B$36="","", Data!$B$36)</f>
        <v/>
      </c>
      <c r="G9" s="29" t="str">
        <f>IF(Data!$B$44="","", Data!$B$44)</f>
        <v/>
      </c>
      <c r="H9" s="29" t="str">
        <f>IF(Data!$B$52="","", Data!$B$52)</f>
        <v/>
      </c>
      <c r="I9" s="29" t="str">
        <f>IF(Data!$B$60="","", Data!$B$60)</f>
        <v/>
      </c>
      <c r="J9" s="29" t="str">
        <f>IF(Data!$B$68="","", Data!$B$68)</f>
        <v/>
      </c>
      <c r="K9" s="29" t="str">
        <f>IF(Data!$B$76="","", Data!$B$76)</f>
        <v/>
      </c>
      <c r="L9" s="29" t="str">
        <f>IF(Data!$B$84="","", Data!$B$84)</f>
        <v/>
      </c>
      <c r="M9" s="29" t="str">
        <f>IF(Data!$B$92="","", Data!$B$92)</f>
        <v/>
      </c>
    </row>
    <row r="10" spans="1:16">
      <c r="A10" s="71"/>
      <c r="B10" s="30" t="str">
        <f>Data!$D$4</f>
        <v/>
      </c>
      <c r="C10" s="30" t="str">
        <f>Data!$D$12</f>
        <v/>
      </c>
      <c r="D10" s="30" t="str">
        <f>Data!$D$20</f>
        <v/>
      </c>
      <c r="E10" s="30" t="str">
        <f>Data!$D$28</f>
        <v/>
      </c>
      <c r="F10" s="30" t="str">
        <f>Data!$D$36</f>
        <v/>
      </c>
      <c r="G10" s="30" t="str">
        <f>Data!$D$44</f>
        <v/>
      </c>
      <c r="H10" s="30" t="str">
        <f>Data!$D$52</f>
        <v/>
      </c>
      <c r="I10" s="30" t="str">
        <f>Data!$D$60</f>
        <v/>
      </c>
      <c r="J10" s="30" t="str">
        <f>Data!$D$68</f>
        <v/>
      </c>
      <c r="K10" s="30" t="str">
        <f>Data!$D$76</f>
        <v/>
      </c>
      <c r="L10" s="30" t="str">
        <f>Data!$D$84</f>
        <v/>
      </c>
      <c r="M10" s="30" t="str">
        <f>Data!$D$92</f>
        <v/>
      </c>
    </row>
    <row r="11" spans="1:16">
      <c r="A11" s="72"/>
      <c r="B11" s="31" t="str">
        <f>Data!$C$4</f>
        <v/>
      </c>
      <c r="C11" s="31" t="str">
        <f>Data!$C$12</f>
        <v/>
      </c>
      <c r="D11" s="31" t="str">
        <f>Data!$C$20</f>
        <v/>
      </c>
      <c r="E11" s="31" t="str">
        <f>Data!$C$28</f>
        <v/>
      </c>
      <c r="F11" s="31" t="str">
        <f>Data!$C$36</f>
        <v/>
      </c>
      <c r="G11" s="31" t="str">
        <f>Data!$C$44</f>
        <v/>
      </c>
      <c r="H11" s="31" t="str">
        <f>Data!$C$52</f>
        <v/>
      </c>
      <c r="I11" s="31" t="str">
        <f>Data!$C$60</f>
        <v/>
      </c>
      <c r="J11" s="31" t="str">
        <f>Data!$C$68</f>
        <v/>
      </c>
      <c r="K11" s="31" t="str">
        <f>Data!$C$76</f>
        <v/>
      </c>
      <c r="L11" s="31" t="str">
        <f>Data!$C$84</f>
        <v/>
      </c>
      <c r="M11" s="31" t="str">
        <f>Data!$C$92</f>
        <v/>
      </c>
    </row>
    <row r="12" spans="1:16">
      <c r="A12" s="66" t="s">
        <v>26</v>
      </c>
      <c r="B12" s="29" t="str">
        <f>IF(Data!$B$5="","", Data!$B$5)</f>
        <v/>
      </c>
      <c r="C12" s="29" t="str">
        <f>IF(Data!$B$13="","", Data!$B$13)</f>
        <v/>
      </c>
      <c r="D12" s="29" t="str">
        <f>IF(Data!$B$21="","", Data!$B$21)</f>
        <v/>
      </c>
      <c r="E12" s="29" t="str">
        <f>IF(Data!$B$29="","", Data!$B$29)</f>
        <v/>
      </c>
      <c r="F12" s="29" t="str">
        <f>IF(Data!$B$37="","", Data!$B$37)</f>
        <v/>
      </c>
      <c r="G12" s="29" t="str">
        <f>IF(Data!$B$45="","", Data!$B$45)</f>
        <v/>
      </c>
      <c r="H12" s="29" t="str">
        <f>IF(Data!$B$53="","", Data!$B$53)</f>
        <v/>
      </c>
      <c r="I12" s="29" t="str">
        <f>IF(Data!$B$61="","", Data!$B$61)</f>
        <v/>
      </c>
      <c r="J12" s="29" t="str">
        <f>IF(Data!$B$69="","", Data!$B$69)</f>
        <v/>
      </c>
      <c r="K12" s="29" t="str">
        <f>IF(Data!$B$77="","", Data!$B$77)</f>
        <v/>
      </c>
      <c r="L12" s="29" t="str">
        <f>IF(Data!$B$85="","", Data!$B$85)</f>
        <v/>
      </c>
      <c r="M12" s="29" t="str">
        <f>IF(Data!$B$93="","", Data!$B$93)</f>
        <v/>
      </c>
    </row>
    <row r="13" spans="1:16">
      <c r="A13" s="67"/>
      <c r="B13" s="30" t="str">
        <f>Data!$D$5</f>
        <v/>
      </c>
      <c r="C13" s="30" t="str">
        <f>Data!$D$13</f>
        <v/>
      </c>
      <c r="D13" s="30" t="str">
        <f>Data!$D$21</f>
        <v/>
      </c>
      <c r="E13" s="30" t="str">
        <f>Data!$D$29</f>
        <v/>
      </c>
      <c r="F13" s="30" t="str">
        <f>Data!$D$37</f>
        <v/>
      </c>
      <c r="G13" s="30" t="str">
        <f>Data!$D$45</f>
        <v/>
      </c>
      <c r="H13" s="30" t="str">
        <f>Data!$D$53</f>
        <v/>
      </c>
      <c r="I13" s="30" t="str">
        <f>Data!$D$61</f>
        <v/>
      </c>
      <c r="J13" s="30" t="str">
        <f>Data!$D$69</f>
        <v/>
      </c>
      <c r="K13" s="30" t="str">
        <f>Data!$D$77</f>
        <v/>
      </c>
      <c r="L13" s="30" t="str">
        <f>Data!$D$85</f>
        <v/>
      </c>
      <c r="M13" s="30" t="str">
        <f>Data!$D$93</f>
        <v/>
      </c>
    </row>
    <row r="14" spans="1:16">
      <c r="A14" s="68"/>
      <c r="B14" s="31" t="str">
        <f>Data!$C$5</f>
        <v/>
      </c>
      <c r="C14" s="31" t="str">
        <f>Data!$C$13</f>
        <v/>
      </c>
      <c r="D14" s="31" t="str">
        <f>Data!$C$21</f>
        <v/>
      </c>
      <c r="E14" s="31" t="str">
        <f>Data!$C$29</f>
        <v/>
      </c>
      <c r="F14" s="31" t="str">
        <f>Data!$C$37</f>
        <v/>
      </c>
      <c r="G14" s="31" t="str">
        <f>Data!$C$45</f>
        <v/>
      </c>
      <c r="H14" s="31" t="str">
        <f>Data!$C$53</f>
        <v/>
      </c>
      <c r="I14" s="31" t="str">
        <f>Data!$C$61</f>
        <v/>
      </c>
      <c r="J14" s="31" t="str">
        <f>Data!$C$69</f>
        <v/>
      </c>
      <c r="K14" s="31" t="str">
        <f>Data!$C$77</f>
        <v/>
      </c>
      <c r="L14" s="31" t="str">
        <f>Data!$C$85</f>
        <v/>
      </c>
      <c r="M14" s="31" t="str">
        <f>Data!$C$93</f>
        <v/>
      </c>
    </row>
    <row r="15" spans="1:16">
      <c r="A15" s="66" t="s">
        <v>27</v>
      </c>
      <c r="B15" s="29" t="str">
        <f>IF(Data!$B$6="","", Data!$B$6)</f>
        <v/>
      </c>
      <c r="C15" s="29" t="str">
        <f>IF(Data!$B$14="","", Data!$B$14)</f>
        <v/>
      </c>
      <c r="D15" s="29" t="str">
        <f>IF(Data!$B$22="","", Data!$B$22)</f>
        <v/>
      </c>
      <c r="E15" s="29" t="str">
        <f>IF(Data!$B$30="","", Data!$B$30)</f>
        <v/>
      </c>
      <c r="F15" s="29" t="str">
        <f>IF(Data!$B$38="","", Data!$B$38)</f>
        <v/>
      </c>
      <c r="G15" s="29" t="str">
        <f>IF(Data!$B$46="","", Data!$B$46)</f>
        <v/>
      </c>
      <c r="H15" s="29" t="str">
        <f>IF(Data!$B$54="","", Data!$B$54)</f>
        <v/>
      </c>
      <c r="I15" s="29" t="str">
        <f>IF(Data!$B$62="","", Data!$B$62)</f>
        <v/>
      </c>
      <c r="J15" s="29" t="str">
        <f>IF(Data!$B$70="","", Data!$B$70)</f>
        <v/>
      </c>
      <c r="K15" s="29" t="str">
        <f>IF(Data!$B$78="","", Data!$B$78)</f>
        <v/>
      </c>
      <c r="L15" s="29" t="str">
        <f>IF(Data!$B$86="","", Data!$B$86)</f>
        <v/>
      </c>
      <c r="M15" s="29" t="str">
        <f>IF(Data!$B$94="","", Data!$B$94)</f>
        <v/>
      </c>
    </row>
    <row r="16" spans="1:16">
      <c r="A16" s="67"/>
      <c r="B16" s="30" t="str">
        <f>Data!$D$6</f>
        <v/>
      </c>
      <c r="C16" s="30" t="str">
        <f>Data!$D$14</f>
        <v/>
      </c>
      <c r="D16" s="30" t="str">
        <f>Data!$D$22</f>
        <v/>
      </c>
      <c r="E16" s="30" t="str">
        <f>Data!$D$30</f>
        <v/>
      </c>
      <c r="F16" s="30" t="str">
        <f>Data!$D$38</f>
        <v/>
      </c>
      <c r="G16" s="30" t="str">
        <f>Data!$D$46</f>
        <v/>
      </c>
      <c r="H16" s="30" t="str">
        <f>Data!$D$54</f>
        <v/>
      </c>
      <c r="I16" s="30" t="str">
        <f>Data!$D$62</f>
        <v/>
      </c>
      <c r="J16" s="30" t="str">
        <f>Data!$D$70</f>
        <v/>
      </c>
      <c r="K16" s="30" t="str">
        <f>Data!$D$78</f>
        <v/>
      </c>
      <c r="L16" s="30" t="str">
        <f>Data!$D$86</f>
        <v/>
      </c>
      <c r="M16" s="30" t="str">
        <f>Data!$D$94</f>
        <v/>
      </c>
    </row>
    <row r="17" spans="1:15">
      <c r="A17" s="68"/>
      <c r="B17" s="31" t="str">
        <f>Data!$C$6</f>
        <v/>
      </c>
      <c r="C17" s="31" t="str">
        <f>Data!$C$14</f>
        <v/>
      </c>
      <c r="D17" s="31" t="str">
        <f>Data!$C$22</f>
        <v/>
      </c>
      <c r="E17" s="31" t="str">
        <f>Data!$C$30</f>
        <v/>
      </c>
      <c r="F17" s="31" t="str">
        <f>Data!$C$38</f>
        <v/>
      </c>
      <c r="G17" s="31" t="str">
        <f>Data!$C$46</f>
        <v/>
      </c>
      <c r="H17" s="31" t="str">
        <f>Data!$C$54</f>
        <v/>
      </c>
      <c r="I17" s="31" t="str">
        <f>Data!$C$62</f>
        <v/>
      </c>
      <c r="J17" s="31" t="str">
        <f>Data!$C$70</f>
        <v/>
      </c>
      <c r="K17" s="31" t="str">
        <f>Data!$C$78</f>
        <v/>
      </c>
      <c r="L17" s="31" t="str">
        <f>Data!$C$86</f>
        <v/>
      </c>
      <c r="M17" s="31" t="str">
        <f>Data!$C$94</f>
        <v/>
      </c>
    </row>
    <row r="18" spans="1:15">
      <c r="A18" s="66" t="s">
        <v>28</v>
      </c>
      <c r="B18" s="29" t="str">
        <f>IF(Data!$B$7="","", Data!$B$7)</f>
        <v/>
      </c>
      <c r="C18" s="29" t="str">
        <f>IF(Data!$B$15="","", Data!$B$15)</f>
        <v/>
      </c>
      <c r="D18" s="29" t="str">
        <f>IF(Data!$B$23="","", Data!$B$23)</f>
        <v/>
      </c>
      <c r="E18" s="29" t="str">
        <f>IF(Data!$B$31="","", Data!$B$31)</f>
        <v/>
      </c>
      <c r="F18" s="29" t="str">
        <f>IF(Data!$B$39="","", Data!$B$39)</f>
        <v/>
      </c>
      <c r="G18" s="29" t="str">
        <f>IF(Data!$B$47="","", Data!$B$47)</f>
        <v/>
      </c>
      <c r="H18" s="29" t="str">
        <f>IF(Data!$B$55="","", Data!$B$55)</f>
        <v/>
      </c>
      <c r="I18" s="29" t="str">
        <f>IF(Data!$B$63="","", Data!$B$63)</f>
        <v/>
      </c>
      <c r="J18" s="29" t="str">
        <f>IF(Data!$B$71="","", Data!$B$71)</f>
        <v/>
      </c>
      <c r="K18" s="29" t="str">
        <f>IF(Data!$B$79="","", Data!$B$79)</f>
        <v/>
      </c>
      <c r="L18" s="29" t="str">
        <f>IF(Data!$B$87="","", Data!$B$87)</f>
        <v/>
      </c>
      <c r="M18" s="29" t="str">
        <f>IF(Data!$B$95="","", Data!$B$95)</f>
        <v/>
      </c>
    </row>
    <row r="19" spans="1:15">
      <c r="A19" s="67"/>
      <c r="B19" s="30" t="str">
        <f>Data!$D$7</f>
        <v/>
      </c>
      <c r="C19" s="30" t="str">
        <f>Data!$D$15</f>
        <v/>
      </c>
      <c r="D19" s="30" t="str">
        <f>Data!$D$23</f>
        <v/>
      </c>
      <c r="E19" s="30" t="str">
        <f>Data!$D$31</f>
        <v/>
      </c>
      <c r="F19" s="30" t="str">
        <f>Data!$D$39</f>
        <v/>
      </c>
      <c r="G19" s="30" t="str">
        <f>Data!$D$47</f>
        <v/>
      </c>
      <c r="H19" s="30" t="str">
        <f>Data!$D$55</f>
        <v/>
      </c>
      <c r="I19" s="30" t="str">
        <f>Data!$D$63</f>
        <v/>
      </c>
      <c r="J19" s="30" t="str">
        <f>Data!$D$71</f>
        <v/>
      </c>
      <c r="K19" s="30" t="str">
        <f>Data!$D$79</f>
        <v/>
      </c>
      <c r="L19" s="30" t="str">
        <f>Data!$D$87</f>
        <v/>
      </c>
      <c r="M19" s="30" t="str">
        <f>Data!$D$95</f>
        <v/>
      </c>
    </row>
    <row r="20" spans="1:15">
      <c r="A20" s="68"/>
      <c r="B20" s="31" t="str">
        <f>Data!$C$7</f>
        <v/>
      </c>
      <c r="C20" s="31" t="str">
        <f>Data!$C$15</f>
        <v/>
      </c>
      <c r="D20" s="31" t="str">
        <f>Data!$C$23</f>
        <v/>
      </c>
      <c r="E20" s="31" t="str">
        <f>Data!$C$31</f>
        <v/>
      </c>
      <c r="F20" s="31" t="str">
        <f>Data!$C$39</f>
        <v/>
      </c>
      <c r="G20" s="31" t="str">
        <f>Data!$C$47</f>
        <v/>
      </c>
      <c r="H20" s="31" t="str">
        <f>Data!$C$55</f>
        <v/>
      </c>
      <c r="I20" s="31" t="str">
        <f>Data!$C$63</f>
        <v/>
      </c>
      <c r="J20" s="31" t="str">
        <f>Data!$C$71</f>
        <v/>
      </c>
      <c r="K20" s="31" t="str">
        <f>Data!$C$79</f>
        <v/>
      </c>
      <c r="L20" s="31" t="str">
        <f>Data!$C$87</f>
        <v/>
      </c>
      <c r="M20" s="31" t="str">
        <f>Data!$C$95</f>
        <v/>
      </c>
    </row>
    <row r="21" spans="1:15">
      <c r="A21" s="66" t="s">
        <v>29</v>
      </c>
      <c r="B21" s="29" t="str">
        <f>IF(Data!$B$8="","", Data!$B$8)</f>
        <v/>
      </c>
      <c r="C21" s="29" t="str">
        <f>IF(Data!$B$16="","", Data!$B$16)</f>
        <v/>
      </c>
      <c r="D21" s="29" t="str">
        <f>IF(Data!$B$24="","", Data!$B$24)</f>
        <v/>
      </c>
      <c r="E21" s="29" t="str">
        <f>IF(Data!$B$32="","", Data!$B$32)</f>
        <v/>
      </c>
      <c r="F21" s="29" t="str">
        <f>IF(Data!$B$40="","", Data!$B$40)</f>
        <v/>
      </c>
      <c r="G21" s="29" t="str">
        <f>IF(Data!$B$48="","", Data!$B$48)</f>
        <v/>
      </c>
      <c r="H21" s="29" t="str">
        <f>IF(Data!$B$56="","", Data!$B$56)</f>
        <v/>
      </c>
      <c r="I21" s="29" t="str">
        <f>IF(Data!$B$64="","", Data!$B$64)</f>
        <v/>
      </c>
      <c r="J21" s="29" t="str">
        <f>IF(Data!$B$72="","", Data!$B$72)</f>
        <v/>
      </c>
      <c r="K21" s="29" t="str">
        <f>IF(Data!$B$80="","", Data!$B$80)</f>
        <v/>
      </c>
      <c r="L21" s="29" t="str">
        <f>IF(Data!$B$88="","", Data!$B$88)</f>
        <v/>
      </c>
      <c r="M21" s="29" t="str">
        <f>IF(Data!$B$96="","", Data!$B$96)</f>
        <v/>
      </c>
    </row>
    <row r="22" spans="1:15">
      <c r="A22" s="67"/>
      <c r="B22" s="30" t="str">
        <f>Data!$D$8</f>
        <v/>
      </c>
      <c r="C22" s="30" t="str">
        <f>Data!$D$16</f>
        <v/>
      </c>
      <c r="D22" s="30" t="str">
        <f>Data!$D$24</f>
        <v/>
      </c>
      <c r="E22" s="30" t="str">
        <f>Data!$D$32</f>
        <v/>
      </c>
      <c r="F22" s="30" t="str">
        <f>Data!$D$40</f>
        <v/>
      </c>
      <c r="G22" s="30" t="str">
        <f>Data!$D$48</f>
        <v/>
      </c>
      <c r="H22" s="30" t="str">
        <f>Data!$D$56</f>
        <v/>
      </c>
      <c r="I22" s="30" t="str">
        <f>Data!$D$64</f>
        <v/>
      </c>
      <c r="J22" s="30" t="str">
        <f>Data!$D$72</f>
        <v/>
      </c>
      <c r="K22" s="30" t="str">
        <f>Data!$D$80</f>
        <v/>
      </c>
      <c r="L22" s="30" t="str">
        <f>Data!$D$88</f>
        <v/>
      </c>
      <c r="M22" s="30" t="str">
        <f>Data!$D$96</f>
        <v/>
      </c>
    </row>
    <row r="23" spans="1:15">
      <c r="A23" s="68"/>
      <c r="B23" s="31" t="str">
        <f>Data!$C$8</f>
        <v/>
      </c>
      <c r="C23" s="31" t="str">
        <f>Data!$C$16</f>
        <v/>
      </c>
      <c r="D23" s="31" t="str">
        <f>Data!$C$24</f>
        <v/>
      </c>
      <c r="E23" s="31" t="str">
        <f>Data!$C$32</f>
        <v/>
      </c>
      <c r="F23" s="31" t="str">
        <f>Data!$C$40</f>
        <v/>
      </c>
      <c r="G23" s="31" t="str">
        <f>Data!$C$48</f>
        <v/>
      </c>
      <c r="H23" s="31" t="str">
        <f>Data!$C$56</f>
        <v/>
      </c>
      <c r="I23" s="31" t="str">
        <f>Data!$C$64</f>
        <v/>
      </c>
      <c r="J23" s="31" t="str">
        <f>Data!$C$72</f>
        <v/>
      </c>
      <c r="K23" s="31" t="str">
        <f>Data!$C$80</f>
        <v/>
      </c>
      <c r="L23" s="31" t="str">
        <f>Data!$C$88</f>
        <v/>
      </c>
      <c r="M23" s="31" t="str">
        <f>Data!$C$96</f>
        <v/>
      </c>
    </row>
    <row r="24" spans="1:15">
      <c r="A24" s="69" t="s">
        <v>32</v>
      </c>
      <c r="B24" s="29" t="str">
        <f>IF(Data!$B$9="","", Data!$B$9)</f>
        <v/>
      </c>
      <c r="C24" s="29" t="str">
        <f>IF(Data!$B$17="","", Data!$B$17)</f>
        <v/>
      </c>
      <c r="D24" s="29" t="str">
        <f>IF(Data!$B$25="","", Data!$B$25)</f>
        <v/>
      </c>
      <c r="E24" s="29" t="str">
        <f>IF(Data!$B$33="","", Data!$B$33)</f>
        <v/>
      </c>
      <c r="F24" s="29" t="str">
        <f>IF(Data!$B$41="","", Data!$B$41)</f>
        <v/>
      </c>
      <c r="G24" s="29" t="str">
        <f>IF(Data!$B$49="","", Data!$B$49)</f>
        <v/>
      </c>
      <c r="H24" s="29" t="str">
        <f>IF(Data!$B$57="","", Data!$B$57)</f>
        <v/>
      </c>
      <c r="I24" s="29" t="str">
        <f>IF(Data!$B$65="","", Data!$B$65)</f>
        <v/>
      </c>
      <c r="J24" s="29" t="str">
        <f>IF(Data!$B$73="","", Data!$B$73)</f>
        <v/>
      </c>
      <c r="K24" s="29" t="str">
        <f>IF(Data!$B$81="","", Data!$B$81)</f>
        <v/>
      </c>
      <c r="L24" s="29" t="str">
        <f>IF(Data!$B$89="","", Data!$B$89)</f>
        <v/>
      </c>
      <c r="M24" s="29" t="str">
        <f>IF(Data!$B$97="","", Data!$B$97)</f>
        <v/>
      </c>
    </row>
    <row r="25" spans="1:15">
      <c r="A25" s="69"/>
      <c r="B25" s="30" t="str">
        <f>Data!$D$9</f>
        <v/>
      </c>
      <c r="C25" s="30" t="str">
        <f>Data!$D$17</f>
        <v/>
      </c>
      <c r="D25" s="30" t="str">
        <f>Data!$D$25</f>
        <v/>
      </c>
      <c r="E25" s="30" t="str">
        <f>Data!$D$33</f>
        <v/>
      </c>
      <c r="F25" s="30" t="str">
        <f>Data!$D$41</f>
        <v/>
      </c>
      <c r="G25" s="30" t="str">
        <f>Data!$D$49</f>
        <v/>
      </c>
      <c r="H25" s="30" t="str">
        <f>Data!$D$57</f>
        <v/>
      </c>
      <c r="I25" s="30" t="str">
        <f>Data!$D$65</f>
        <v/>
      </c>
      <c r="J25" s="30" t="str">
        <f>Data!$D$73</f>
        <v/>
      </c>
      <c r="K25" s="30" t="str">
        <f>Data!$D$81</f>
        <v/>
      </c>
      <c r="L25" s="30" t="str">
        <f>Data!$D$89</f>
        <v/>
      </c>
      <c r="M25" s="30" t="str">
        <f>Data!$D$97</f>
        <v/>
      </c>
    </row>
    <row r="26" spans="1:15">
      <c r="A26" s="69"/>
      <c r="B26" s="31" t="str">
        <f>Data!$C$9</f>
        <v/>
      </c>
      <c r="C26" s="31" t="str">
        <f>Data!$C$17</f>
        <v/>
      </c>
      <c r="D26" s="31" t="str">
        <f>Data!$C$25</f>
        <v/>
      </c>
      <c r="E26" s="31" t="str">
        <f>Data!$C$33</f>
        <v/>
      </c>
      <c r="F26" s="31" t="str">
        <f>Data!$C$41</f>
        <v/>
      </c>
      <c r="G26" s="31" t="str">
        <f>Data!$C$49</f>
        <v/>
      </c>
      <c r="H26" s="31" t="str">
        <f>Data!$C$57</f>
        <v/>
      </c>
      <c r="I26" s="31" t="str">
        <f>Data!$C$65</f>
        <v/>
      </c>
      <c r="J26" s="31" t="str">
        <f>Data!$C$73</f>
        <v/>
      </c>
      <c r="K26" s="31" t="str">
        <f>Data!$C$81</f>
        <v/>
      </c>
      <c r="L26" s="31" t="str">
        <f>Data!$C$89</f>
        <v/>
      </c>
      <c r="M26" s="31" t="str">
        <f>Data!$C$97</f>
        <v/>
      </c>
    </row>
    <row r="27" spans="1:15">
      <c r="D27" s="5"/>
      <c r="E27" s="5"/>
      <c r="F27" s="5"/>
      <c r="G27" s="5"/>
      <c r="I27" s="6"/>
      <c r="J27" s="5"/>
      <c r="K27" s="5"/>
    </row>
    <row r="28" spans="1:15">
      <c r="C28" s="64" t="s">
        <v>137</v>
      </c>
      <c r="D28" s="64"/>
      <c r="E28" s="57">
        <f>96-(COUNTBLANK(Data!B2:B97))</f>
        <v>1</v>
      </c>
      <c r="F28" s="5"/>
      <c r="G28" s="5"/>
      <c r="H28" s="5" t="s">
        <v>139</v>
      </c>
      <c r="I28" s="5"/>
      <c r="J28" s="5"/>
      <c r="K28" s="56" t="s">
        <v>140</v>
      </c>
      <c r="L28" s="5"/>
      <c r="M28" s="5"/>
      <c r="O28" s="5"/>
    </row>
    <row r="29" spans="1:15">
      <c r="C29" s="64" t="s">
        <v>138</v>
      </c>
      <c r="D29" s="64"/>
      <c r="F29" s="8"/>
      <c r="H29" s="8"/>
      <c r="K29" s="56" t="s">
        <v>141</v>
      </c>
      <c r="L29" s="5"/>
      <c r="M29" s="5"/>
    </row>
    <row r="30" spans="1:15">
      <c r="C30" s="64" t="s">
        <v>36</v>
      </c>
      <c r="D30" s="64"/>
      <c r="E30" s="3"/>
      <c r="F30" s="8"/>
      <c r="H30" s="8"/>
      <c r="J30" s="55"/>
      <c r="K30" s="56" t="s">
        <v>142</v>
      </c>
      <c r="M30" s="5" t="s">
        <v>143</v>
      </c>
      <c r="O30" s="5"/>
    </row>
    <row r="31" spans="1:15">
      <c r="B31" s="5"/>
      <c r="C31" s="3"/>
      <c r="E31" s="8"/>
      <c r="J31" s="9"/>
      <c r="K31" s="56" t="s">
        <v>144</v>
      </c>
      <c r="L31" s="5"/>
      <c r="M31" s="5" t="s">
        <v>145</v>
      </c>
      <c r="N31" s="5"/>
    </row>
    <row r="32" spans="1:15">
      <c r="B32" s="5"/>
      <c r="C32" s="8"/>
      <c r="E32" s="5"/>
      <c r="G32" s="5"/>
      <c r="I32" s="8"/>
      <c r="J32" s="9"/>
      <c r="K32" s="8"/>
      <c r="L32" s="7"/>
      <c r="M32" s="5"/>
      <c r="N32" s="5"/>
    </row>
    <row r="33" spans="2:14">
      <c r="B33" s="5"/>
      <c r="I33" s="5"/>
      <c r="J33" s="5"/>
      <c r="K33" s="8"/>
      <c r="L33" s="7"/>
      <c r="M33" s="5"/>
      <c r="N33" s="5"/>
    </row>
  </sheetData>
  <mergeCells count="13">
    <mergeCell ref="C30:D30"/>
    <mergeCell ref="C29:D29"/>
    <mergeCell ref="L1:M1"/>
    <mergeCell ref="A18:A20"/>
    <mergeCell ref="A15:A17"/>
    <mergeCell ref="A12:A14"/>
    <mergeCell ref="C28:D28"/>
    <mergeCell ref="A24:A26"/>
    <mergeCell ref="A3:A5"/>
    <mergeCell ref="A6:A8"/>
    <mergeCell ref="A9:A11"/>
    <mergeCell ref="A1:D1"/>
    <mergeCell ref="A21:A23"/>
  </mergeCells>
  <phoneticPr fontId="4" type="noConversion"/>
  <conditionalFormatting sqref="B5:M5 B8:M8 B11:M11 B14:M14 B17:M17 B20:M20 B23:M23 B26:M26">
    <cfRule type="beginsWith" dxfId="3" priority="1" operator="beginsWith" text="POS">
      <formula>LEFT(B5,LEN("POS"))="POS"</formula>
    </cfRule>
  </conditionalFormatting>
  <pageMargins left="0.28749999999999998" right="0.104" top="1" bottom="1" header="0.5" footer="0.5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zoomScaleNormal="100" zoomScalePageLayoutView="50" workbookViewId="0">
      <selection activeCell="N5" sqref="N5"/>
    </sheetView>
  </sheetViews>
  <sheetFormatPr defaultColWidth="9" defaultRowHeight="15"/>
  <cols>
    <col min="1" max="1" width="6.75" style="2" customWidth="1"/>
    <col min="2" max="13" width="12.625" style="2" customWidth="1"/>
    <col min="14" max="14" width="10.875" style="2" customWidth="1"/>
    <col min="15" max="15" width="10.125" style="2" customWidth="1"/>
    <col min="16" max="16" width="9.25" style="2" bestFit="1" customWidth="1"/>
    <col min="17" max="16384" width="9" style="2"/>
  </cols>
  <sheetData>
    <row r="1" spans="1:16" ht="24" customHeight="1">
      <c r="A1" s="73" t="s">
        <v>129</v>
      </c>
      <c r="B1" s="73"/>
      <c r="C1" s="73"/>
      <c r="D1" s="73"/>
      <c r="E1" s="3"/>
      <c r="F1" s="33" t="s">
        <v>35</v>
      </c>
      <c r="G1" s="35">
        <f ca="1">TODAY()</f>
        <v>46098</v>
      </c>
      <c r="H1" s="34"/>
      <c r="K1" s="32" t="s">
        <v>130</v>
      </c>
      <c r="L1" s="65" t="str">
        <f ca="1">MID(CELL("filename"),SEARCH("[",CELL("filename"))+1,SEARCH("]",CELL("filename"))-SEARCH("[",CELL("filename"))-6)</f>
        <v>Sequencing_layout_v4</v>
      </c>
      <c r="M1" s="65"/>
      <c r="P1" s="4"/>
    </row>
    <row r="2" spans="1:16">
      <c r="A2" s="25"/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  <c r="K2" s="26">
        <v>10</v>
      </c>
      <c r="L2" s="26">
        <v>11</v>
      </c>
      <c r="M2" s="26">
        <v>12</v>
      </c>
    </row>
    <row r="3" spans="1:16">
      <c r="A3" s="70" t="s">
        <v>25</v>
      </c>
      <c r="B3" s="29">
        <f>IF(Data!$B$2="","", Data!$B$2)</f>
        <v>0</v>
      </c>
      <c r="C3" s="29" t="str">
        <f>IF(Data!$B$10="","", Data!$B$10)</f>
        <v/>
      </c>
      <c r="D3" s="29" t="str">
        <f>IF(Data!$B$18="","", Data!$B$18)</f>
        <v/>
      </c>
      <c r="E3" s="29" t="str">
        <f>IF(Data!$B$26="","", Data!$B$26)</f>
        <v/>
      </c>
      <c r="F3" s="29" t="str">
        <f>IF(Data!$B$34="","", Data!$B$34)</f>
        <v/>
      </c>
      <c r="G3" s="29" t="str">
        <f>IF(Data!$B$42="","", Data!$B$42)</f>
        <v/>
      </c>
      <c r="H3" s="29" t="str">
        <f>IF(Data!$B$50="","", Data!$B$50)</f>
        <v/>
      </c>
      <c r="I3" s="29" t="str">
        <f>IF(Data!$B$58="","", Data!$B$58)</f>
        <v/>
      </c>
      <c r="J3" s="29" t="str">
        <f>IF(Data!$B$66="","", Data!$B$66)</f>
        <v/>
      </c>
      <c r="K3" s="29" t="str">
        <f>IF(Data!$B$74="","", Data!$B$74)</f>
        <v/>
      </c>
      <c r="L3" s="29" t="str">
        <f>IF(Data!$B$82="","", Data!$B$82)</f>
        <v/>
      </c>
      <c r="M3" s="29" t="str">
        <f>IF(Data!$B$90="","", Data!$B$90)</f>
        <v/>
      </c>
      <c r="O3" s="29" t="s">
        <v>146</v>
      </c>
    </row>
    <row r="4" spans="1:16">
      <c r="A4" s="71"/>
      <c r="B4" s="30">
        <f>IFERROR(MID(Data!$D2, SEARCH("(", Data!$D2) + 1, SEARCH(")", Data!$D2) - SEARCH("(", Data!$D2) - 1), Data!$D2)</f>
        <v>0</v>
      </c>
      <c r="C4" s="30" t="str">
        <f>IFERROR(MID(Data!$D10, SEARCH("(", Data!$D10) + 1, SEARCH(")", Data!$D10) - SEARCH("(", Data!$D10) - 1), Data!$D10)</f>
        <v/>
      </c>
      <c r="D4" s="30" t="str">
        <f>IFERROR(MID(Data!$D18, SEARCH("(", Data!$D18) + 1, SEARCH(")", Data!$D18) - SEARCH("(", Data!$D18) - 1), Data!$D18)</f>
        <v/>
      </c>
      <c r="E4" s="30" t="str">
        <f>IFERROR(MID(Data!$D26, SEARCH("(", Data!$D26) + 1, SEARCH(")", Data!$D26) - SEARCH("(", Data!$D26) - 1), Data!$D26)</f>
        <v/>
      </c>
      <c r="F4" s="30" t="str">
        <f>IFERROR(MID(Data!$D34, SEARCH("(", Data!$D34) + 1, SEARCH(")", Data!$D34) - SEARCH("(", Data!$D34) - 1), Data!$D34)</f>
        <v/>
      </c>
      <c r="G4" s="30" t="str">
        <f>IFERROR(MID(Data!$D42, SEARCH("(", Data!$D42) + 1, SEARCH(")", Data!$D42) - SEARCH("(", Data!$D42) - 1), Data!$D42)</f>
        <v/>
      </c>
      <c r="H4" s="30" t="str">
        <f>IFERROR(MID(Data!$D50, SEARCH("(", Data!$D50) + 1, SEARCH(")", Data!$D50) - SEARCH("(", Data!$D50) - 1), Data!$D50)</f>
        <v/>
      </c>
      <c r="I4" s="30" t="str">
        <f>IFERROR(MID(Data!$D58, SEARCH("(", Data!$D58) + 1, SEARCH(")", Data!$D58) - SEARCH("(", Data!$D58) - 1), Data!$D58)</f>
        <v/>
      </c>
      <c r="J4" s="30" t="str">
        <f>IFERROR(MID(Data!$D66, SEARCH("(", Data!$D66) + 1, SEARCH(")", Data!$D66) - SEARCH("(", Data!$D66) - 1), Data!$D66)</f>
        <v/>
      </c>
      <c r="K4" s="30" t="str">
        <f>IFERROR(MID(Data!$D74, SEARCH("(", Data!$D74) + 1, SEARCH(")", Data!$D74) - SEARCH("(", Data!$D74) - 1), Data!$D74)</f>
        <v/>
      </c>
      <c r="L4" s="30" t="str">
        <f>IFERROR(MID(Data!$D82, SEARCH("(", Data!$D82) + 1, SEARCH(")", Data!$D82) - SEARCH("(", Data!$D82) - 1), Data!$D82)</f>
        <v/>
      </c>
      <c r="M4" s="30" t="str">
        <f>IFERROR(MID(Data!$D90, SEARCH("(", Data!$D90) + 1, SEARCH(")", Data!$D90) - SEARCH("(", Data!$D90) - 1), Data!$D90)</f>
        <v/>
      </c>
      <c r="O4" s="27" t="s">
        <v>33</v>
      </c>
    </row>
    <row r="5" spans="1:16">
      <c r="A5" s="72"/>
      <c r="B5" s="31" t="str">
        <f>IFERROR(MID(Data!$C2, SEARCH("(", Data!$C2) + 1, SEARCH(")", Data!$C2) - SEARCH("(", Data!$C2) - 1), Data!$C2)</f>
        <v>#A1</v>
      </c>
      <c r="C5" s="31" t="str">
        <f>IFERROR(MID(Data!$C10, SEARCH("(", Data!$C10) + 1, SEARCH(")", Data!$C10) - SEARCH("(", Data!$C10) - 1), Data!$C10)</f>
        <v/>
      </c>
      <c r="D5" s="31" t="str">
        <f>IFERROR(MID(Data!$C18, SEARCH("(", Data!$C18) + 1, SEARCH(")", Data!$C18) - SEARCH("(", Data!$C18) - 1), Data!$C18)</f>
        <v/>
      </c>
      <c r="E5" s="31" t="str">
        <f>IFERROR(MID(Data!$C26, SEARCH("(", Data!$C26) + 1, SEARCH(")", Data!$C26) - SEARCH("(", Data!$C26) - 1), Data!$C26)</f>
        <v/>
      </c>
      <c r="F5" s="31" t="str">
        <f>IFERROR(MID(Data!$C34, SEARCH("(", Data!$C34) + 1, SEARCH(")", Data!$C34) - SEARCH("(", Data!$C34) - 1), Data!$C34)</f>
        <v/>
      </c>
      <c r="G5" s="31" t="str">
        <f>IFERROR(MID(Data!$C42, SEARCH("(", Data!$C42) + 1, SEARCH(")", Data!$C42) - SEARCH("(", Data!$C42) - 1), Data!$C42)</f>
        <v/>
      </c>
      <c r="H5" s="31" t="str">
        <f>IFERROR(MID(Data!$C50, SEARCH("(", Data!$C50) + 1, SEARCH(")", Data!$C50) - SEARCH("(", Data!$C50) - 1), Data!$C50)</f>
        <v/>
      </c>
      <c r="I5" s="31" t="str">
        <f>IFERROR(MID(Data!$C58, SEARCH("(", Data!$C58) + 1, SEARCH(")", Data!$C58) - SEARCH("(", Data!$C58) - 1), Data!$C58)</f>
        <v/>
      </c>
      <c r="J5" s="31" t="str">
        <f>IFERROR(MID(Data!$C66, SEARCH("(", Data!$C66) + 1, SEARCH(")", Data!$C66) - SEARCH("(", Data!$C66) - 1), Data!$C66)</f>
        <v/>
      </c>
      <c r="K5" s="31" t="str">
        <f>IFERROR(MID(Data!$C74, SEARCH("(", Data!$C74) + 1, SEARCH(")", Data!$C74) - SEARCH("(", Data!$C74) - 1), Data!$C74)</f>
        <v/>
      </c>
      <c r="L5" s="31" t="str">
        <f>IFERROR(MID(Data!$C82, SEARCH("(", Data!$C82) + 1, SEARCH(")", Data!$C82) - SEARCH("(", Data!$C82) - 1), Data!$C82)</f>
        <v/>
      </c>
      <c r="M5" s="31" t="str">
        <f>IFERROR(MID(Data!$C90, SEARCH("(", Data!$C90) + 1, SEARCH(")", Data!$C90) - SEARCH("(", Data!$C90) - 1), Data!$C90)</f>
        <v/>
      </c>
      <c r="O5" s="28" t="s">
        <v>34</v>
      </c>
    </row>
    <row r="6" spans="1:16">
      <c r="A6" s="70" t="s">
        <v>30</v>
      </c>
      <c r="B6" s="29" t="str">
        <f>IF(Data!$B$3="","", Data!$B$3)</f>
        <v/>
      </c>
      <c r="C6" s="29" t="str">
        <f>IF(Data!$B$11="","", Data!$B$11)</f>
        <v/>
      </c>
      <c r="D6" s="29" t="str">
        <f>IF(Data!$B$19="","", Data!$B$19)</f>
        <v/>
      </c>
      <c r="E6" s="29" t="str">
        <f>IF(Data!$B$27="","", Data!$B$27)</f>
        <v/>
      </c>
      <c r="F6" s="29" t="str">
        <f>IF(Data!$B$35="","", Data!$B$35)</f>
        <v/>
      </c>
      <c r="G6" s="29" t="str">
        <f>IF(Data!$B$43="","", Data!$B$43)</f>
        <v/>
      </c>
      <c r="H6" s="29" t="str">
        <f>IF(Data!$B$51="","", Data!$B$51)</f>
        <v/>
      </c>
      <c r="I6" s="29" t="str">
        <f>IF(Data!$B$59="","", Data!$B$59)</f>
        <v/>
      </c>
      <c r="J6" s="29" t="str">
        <f>IF(Data!$B$67="","", Data!$B$67)</f>
        <v/>
      </c>
      <c r="K6" s="29" t="str">
        <f>IF(Data!$B$75="","", Data!$B$75)</f>
        <v/>
      </c>
      <c r="L6" s="29" t="str">
        <f>IF(Data!$B$83="","", Data!$B$83)</f>
        <v/>
      </c>
      <c r="M6" s="29" t="str">
        <f>IF(Data!$B$91="","", Data!$B$91)</f>
        <v/>
      </c>
    </row>
    <row r="7" spans="1:16">
      <c r="A7" s="71"/>
      <c r="B7" s="30" t="str">
        <f>IFERROR(MID(Data!$D3, SEARCH("(", Data!$D3) + 1, SEARCH(")", Data!$D3) - SEARCH("(", Data!$D3) - 1), Data!$D3)</f>
        <v/>
      </c>
      <c r="C7" s="30" t="str">
        <f>IFERROR(MID(Data!$D11, SEARCH("(", Data!$D11) + 1, SEARCH(")", Data!$D11) - SEARCH("(", Data!$D11) - 1), Data!$D11)</f>
        <v/>
      </c>
      <c r="D7" s="30" t="str">
        <f>IFERROR(MID(Data!$D19, SEARCH("(", Data!$D19) + 1, SEARCH(")", Data!$D19) - SEARCH("(", Data!$D19) - 1), Data!$D19)</f>
        <v/>
      </c>
      <c r="E7" s="30" t="str">
        <f>IFERROR(MID(Data!$D27, SEARCH("(", Data!$D27) + 1, SEARCH(")", Data!$D27) - SEARCH("(", Data!$D27) - 1), Data!$D27)</f>
        <v/>
      </c>
      <c r="F7" s="30" t="str">
        <f>IFERROR(MID(Data!$D35, SEARCH("(", Data!$D35) + 1, SEARCH(")", Data!$D35) - SEARCH("(", Data!$D35) - 1), Data!$D35)</f>
        <v/>
      </c>
      <c r="G7" s="30" t="str">
        <f>IFERROR(MID(Data!$D43, SEARCH("(", Data!$D43) + 1, SEARCH(")", Data!$D43) - SEARCH("(", Data!$D43) - 1), Data!$D43)</f>
        <v/>
      </c>
      <c r="H7" s="30" t="str">
        <f>IFERROR(MID(Data!$D51, SEARCH("(", Data!$D51) + 1, SEARCH(")", Data!$D51) - SEARCH("(", Data!$D51) - 1), Data!$D51)</f>
        <v/>
      </c>
      <c r="I7" s="30" t="str">
        <f>IFERROR(MID(Data!$D59, SEARCH("(", Data!$D59) + 1, SEARCH(")", Data!$D59) - SEARCH("(", Data!$D59) - 1), Data!$D59)</f>
        <v/>
      </c>
      <c r="J7" s="30" t="str">
        <f>IFERROR(MID(Data!$D67, SEARCH("(", Data!$D67) + 1, SEARCH(")", Data!$D67) - SEARCH("(", Data!$D67) - 1), Data!$D67)</f>
        <v/>
      </c>
      <c r="K7" s="30" t="str">
        <f>IFERROR(MID(Data!$D75, SEARCH("(", Data!$D75) + 1, SEARCH(")", Data!$D75) - SEARCH("(", Data!$D75) - 1), Data!$D75)</f>
        <v/>
      </c>
      <c r="L7" s="30" t="str">
        <f>IFERROR(MID(Data!$D83, SEARCH("(", Data!$D83) + 1, SEARCH(")", Data!$D83) - SEARCH("(", Data!$D83) - 1), Data!$D83)</f>
        <v/>
      </c>
      <c r="M7" s="30" t="str">
        <f>IFERROR(MID(Data!$D91, SEARCH("(", Data!$D91) + 1, SEARCH(")", Data!$D91) - SEARCH("(", Data!$D91) - 1), Data!$D91)</f>
        <v/>
      </c>
    </row>
    <row r="8" spans="1:16">
      <c r="A8" s="72"/>
      <c r="B8" s="31" t="str">
        <f>IFERROR(MID(Data!$C3, SEARCH("(", Data!$C3) + 1, SEARCH(")", Data!$C3) - SEARCH("(", Data!$C3) - 1), Data!$C3)</f>
        <v/>
      </c>
      <c r="C8" s="31" t="str">
        <f>IFERROR(MID(Data!$C11, SEARCH("(", Data!$C11) + 1, SEARCH(")", Data!$C11) - SEARCH("(", Data!$C11) - 1), Data!$C11)</f>
        <v/>
      </c>
      <c r="D8" s="31" t="str">
        <f>IFERROR(MID(Data!$C19, SEARCH("(", Data!$C19) + 1, SEARCH(")", Data!$C19) - SEARCH("(", Data!$C19) - 1), Data!$C19)</f>
        <v/>
      </c>
      <c r="E8" s="31" t="str">
        <f>IFERROR(MID(Data!$C27, SEARCH("(", Data!$C27) + 1, SEARCH(")", Data!$C27) - SEARCH("(", Data!$C27) - 1), Data!$C27)</f>
        <v/>
      </c>
      <c r="F8" s="31" t="str">
        <f>IFERROR(MID(Data!$C35, SEARCH("(", Data!$C35) + 1, SEARCH(")", Data!$C35) - SEARCH("(", Data!$C35) - 1), Data!$C35)</f>
        <v/>
      </c>
      <c r="G8" s="31" t="str">
        <f>IFERROR(MID(Data!$C43, SEARCH("(", Data!$C43) + 1, SEARCH(")", Data!$C43) - SEARCH("(", Data!$C43) - 1), Data!$C43)</f>
        <v/>
      </c>
      <c r="H8" s="31" t="str">
        <f>IFERROR(MID(Data!$C51, SEARCH("(", Data!$C51) + 1, SEARCH(")", Data!$C51) - SEARCH("(", Data!$C51) - 1), Data!$C51)</f>
        <v/>
      </c>
      <c r="I8" s="31" t="str">
        <f>IFERROR(MID(Data!$C59, SEARCH("(", Data!$C59) + 1, SEARCH(")", Data!$C59) - SEARCH("(", Data!$C59) - 1), Data!$C59)</f>
        <v/>
      </c>
      <c r="J8" s="31" t="str">
        <f>IFERROR(MID(Data!$C67, SEARCH("(", Data!$C67) + 1, SEARCH(")", Data!$C67) - SEARCH("(", Data!$C67) - 1), Data!$C67)</f>
        <v/>
      </c>
      <c r="K8" s="31" t="str">
        <f>IFERROR(MID(Data!$C75, SEARCH("(", Data!$C75) + 1, SEARCH(")", Data!$C75) - SEARCH("(", Data!$C75) - 1), Data!$C75)</f>
        <v/>
      </c>
      <c r="L8" s="31" t="str">
        <f>IFERROR(MID(Data!$C83, SEARCH("(", Data!$C83) + 1, SEARCH(")", Data!$C83) - SEARCH("(", Data!$C83) - 1), Data!$C83)</f>
        <v/>
      </c>
      <c r="M8" s="31" t="str">
        <f>IFERROR(MID(Data!$C91, SEARCH("(", Data!$C91) + 1, SEARCH(")", Data!$C91) - SEARCH("(", Data!$C91) - 1), Data!$C91)</f>
        <v/>
      </c>
    </row>
    <row r="9" spans="1:16">
      <c r="A9" s="70" t="s">
        <v>31</v>
      </c>
      <c r="B9" s="29" t="str">
        <f>IF(Data!$B$4="","", Data!$B$4)</f>
        <v/>
      </c>
      <c r="C9" s="29" t="str">
        <f>IF(Data!$B$12="","", Data!$B$12)</f>
        <v/>
      </c>
      <c r="D9" s="29" t="str">
        <f>IF(Data!$B$20="","", Data!$B$20)</f>
        <v/>
      </c>
      <c r="E9" s="29" t="str">
        <f>IF(Data!$B$28="","", Data!$B$28)</f>
        <v/>
      </c>
      <c r="F9" s="29" t="str">
        <f>IF(Data!$B$36="","", Data!$B$36)</f>
        <v/>
      </c>
      <c r="G9" s="29" t="str">
        <f>IF(Data!$B$44="","", Data!$B$44)</f>
        <v/>
      </c>
      <c r="H9" s="29" t="str">
        <f>IF(Data!$B$52="","", Data!$B$52)</f>
        <v/>
      </c>
      <c r="I9" s="29" t="str">
        <f>IF(Data!$B$60="","", Data!$B$60)</f>
        <v/>
      </c>
      <c r="J9" s="29" t="str">
        <f>IF(Data!$B$68="","", Data!$B$68)</f>
        <v/>
      </c>
      <c r="K9" s="29" t="str">
        <f>IF(Data!$B$76="","", Data!$B$76)</f>
        <v/>
      </c>
      <c r="L9" s="29" t="str">
        <f>IF(Data!$B$84="","", Data!$B$84)</f>
        <v/>
      </c>
      <c r="M9" s="29" t="str">
        <f>IF(Data!$B$92="","", Data!$B$92)</f>
        <v/>
      </c>
    </row>
    <row r="10" spans="1:16">
      <c r="A10" s="71"/>
      <c r="B10" s="30" t="str">
        <f>IFERROR(MID(Data!$D4, SEARCH("(", Data!$D4) + 1, SEARCH(")", Data!$D4) - SEARCH("(", Data!$D4) - 1), Data!$D4)</f>
        <v/>
      </c>
      <c r="C10" s="30" t="str">
        <f>IFERROR(MID(Data!$D12, SEARCH("(", Data!$D12) + 1, SEARCH(")", Data!$D12) - SEARCH("(", Data!$D12) - 1), Data!$D12)</f>
        <v/>
      </c>
      <c r="D10" s="30" t="str">
        <f>IFERROR(MID(Data!$D20, SEARCH("(", Data!$D20) + 1, SEARCH(")", Data!$D20) - SEARCH("(", Data!$D20) - 1), Data!$D20)</f>
        <v/>
      </c>
      <c r="E10" s="30" t="str">
        <f>IFERROR(MID(Data!$D28, SEARCH("(", Data!$D28) + 1, SEARCH(")", Data!$D28) - SEARCH("(", Data!$D28) - 1), Data!$D28)</f>
        <v/>
      </c>
      <c r="F10" s="30" t="str">
        <f>IFERROR(MID(Data!$D36, SEARCH("(", Data!$D36) + 1, SEARCH(")", Data!$D36) - SEARCH("(", Data!$D36) - 1), Data!$D36)</f>
        <v/>
      </c>
      <c r="G10" s="30" t="str">
        <f>IFERROR(MID(Data!$D44, SEARCH("(", Data!$D44) + 1, SEARCH(")", Data!$D44) - SEARCH("(", Data!$D44) - 1), Data!$D44)</f>
        <v/>
      </c>
      <c r="H10" s="30" t="str">
        <f>IFERROR(MID(Data!$D52, SEARCH("(", Data!$D52) + 1, SEARCH(")", Data!$D52) - SEARCH("(", Data!$D52) - 1), Data!$D52)</f>
        <v/>
      </c>
      <c r="I10" s="30" t="str">
        <f>IFERROR(MID(Data!$D60, SEARCH("(", Data!$D60) + 1, SEARCH(")", Data!$D60) - SEARCH("(", Data!$D60) - 1), Data!$D60)</f>
        <v/>
      </c>
      <c r="J10" s="30" t="str">
        <f>IFERROR(MID(Data!$D68, SEARCH("(", Data!$D68) + 1, SEARCH(")", Data!$D68) - SEARCH("(", Data!$D68) - 1), Data!$D68)</f>
        <v/>
      </c>
      <c r="K10" s="30" t="str">
        <f>IFERROR(MID(Data!$D76, SEARCH("(", Data!$D76) + 1, SEARCH(")", Data!$D76) - SEARCH("(", Data!$D76) - 1), Data!$D76)</f>
        <v/>
      </c>
      <c r="L10" s="30" t="str">
        <f>IFERROR(MID(Data!$D84, SEARCH("(", Data!$D84) + 1, SEARCH(")", Data!$D84) - SEARCH("(", Data!$D84) - 1), Data!$D84)</f>
        <v/>
      </c>
      <c r="M10" s="30" t="str">
        <f>IFERROR(MID(Data!$D92, SEARCH("(", Data!$D92) + 1, SEARCH(")", Data!$D92) - SEARCH("(", Data!$D92) - 1), Data!$D92)</f>
        <v/>
      </c>
    </row>
    <row r="11" spans="1:16">
      <c r="A11" s="72"/>
      <c r="B11" s="31" t="str">
        <f>IFERROR(MID(Data!$C4, SEARCH("(", Data!$C4) + 1, SEARCH(")", Data!$C4) - SEARCH("(", Data!$C4) - 1), Data!$C4)</f>
        <v/>
      </c>
      <c r="C11" s="31" t="str">
        <f>IFERROR(MID(Data!$C12, SEARCH("(", Data!$C12) + 1, SEARCH(")", Data!$C12) - SEARCH("(", Data!$C12) - 1), Data!$C12)</f>
        <v/>
      </c>
      <c r="D11" s="31" t="str">
        <f>IFERROR(MID(Data!$C20, SEARCH("(", Data!$C20) + 1, SEARCH(")", Data!$C20) - SEARCH("(", Data!$C20) - 1), Data!$C20)</f>
        <v/>
      </c>
      <c r="E11" s="31" t="str">
        <f>IFERROR(MID(Data!$C28, SEARCH("(", Data!$C28) + 1, SEARCH(")", Data!$C28) - SEARCH("(", Data!$C28) - 1), Data!$C28)</f>
        <v/>
      </c>
      <c r="F11" s="31" t="str">
        <f>IFERROR(MID(Data!$C36, SEARCH("(", Data!$C36) + 1, SEARCH(")", Data!$C36) - SEARCH("(", Data!$C36) - 1), Data!$C36)</f>
        <v/>
      </c>
      <c r="G11" s="31" t="str">
        <f>IFERROR(MID(Data!$C44, SEARCH("(", Data!$C44) + 1, SEARCH(")", Data!$C44) - SEARCH("(", Data!$C44) - 1), Data!$C44)</f>
        <v/>
      </c>
      <c r="H11" s="31" t="str">
        <f>IFERROR(MID(Data!$C52, SEARCH("(", Data!$C52) + 1, SEARCH(")", Data!$C52) - SEARCH("(", Data!$C52) - 1), Data!$C52)</f>
        <v/>
      </c>
      <c r="I11" s="31" t="str">
        <f>IFERROR(MID(Data!$C60, SEARCH("(", Data!$C60) + 1, SEARCH(")", Data!$C60) - SEARCH("(", Data!$C60) - 1), Data!$C60)</f>
        <v/>
      </c>
      <c r="J11" s="31" t="str">
        <f>IFERROR(MID(Data!$C68, SEARCH("(", Data!$C68) + 1, SEARCH(")", Data!$C68) - SEARCH("(", Data!$C68) - 1), Data!$C68)</f>
        <v/>
      </c>
      <c r="K11" s="31" t="str">
        <f>IFERROR(MID(Data!$C76, SEARCH("(", Data!$C76) + 1, SEARCH(")", Data!$C76) - SEARCH("(", Data!$C76) - 1), Data!$C76)</f>
        <v/>
      </c>
      <c r="L11" s="31" t="str">
        <f>IFERROR(MID(Data!$C84, SEARCH("(", Data!$C84) + 1, SEARCH(")", Data!$C84) - SEARCH("(", Data!$C84) - 1), Data!$C84)</f>
        <v/>
      </c>
      <c r="M11" s="31" t="str">
        <f>IFERROR(MID(Data!$C92, SEARCH("(", Data!$C92) + 1, SEARCH(")", Data!$C92) - SEARCH("(", Data!$C92) - 1), Data!$C92)</f>
        <v/>
      </c>
    </row>
    <row r="12" spans="1:16">
      <c r="A12" s="66" t="s">
        <v>26</v>
      </c>
      <c r="B12" s="29" t="str">
        <f>IF(Data!$B$5="","", Data!$B$5)</f>
        <v/>
      </c>
      <c r="C12" s="29" t="str">
        <f>IF(Data!$B$13="","", Data!$B$13)</f>
        <v/>
      </c>
      <c r="D12" s="29" t="str">
        <f>IF(Data!$B$21="","", Data!$B$21)</f>
        <v/>
      </c>
      <c r="E12" s="29" t="str">
        <f>IF(Data!$B$29="","", Data!$B$29)</f>
        <v/>
      </c>
      <c r="F12" s="29" t="str">
        <f>IF(Data!$B$37="","", Data!$B$37)</f>
        <v/>
      </c>
      <c r="G12" s="29" t="str">
        <f>IF(Data!$B$45="","", Data!$B$45)</f>
        <v/>
      </c>
      <c r="H12" s="29" t="str">
        <f>IF(Data!$B$53="","", Data!$B$53)</f>
        <v/>
      </c>
      <c r="I12" s="29" t="str">
        <f>IF(Data!$B$61="","", Data!$B$61)</f>
        <v/>
      </c>
      <c r="J12" s="29" t="str">
        <f>IF(Data!$B$69="","", Data!$B$69)</f>
        <v/>
      </c>
      <c r="K12" s="29" t="str">
        <f>IF(Data!$B$77="","", Data!$B$77)</f>
        <v/>
      </c>
      <c r="L12" s="29" t="str">
        <f>IF(Data!$B$85="","", Data!$B$85)</f>
        <v/>
      </c>
      <c r="M12" s="29" t="str">
        <f>IF(Data!$B$93="","", Data!$B$93)</f>
        <v/>
      </c>
    </row>
    <row r="13" spans="1:16">
      <c r="A13" s="67"/>
      <c r="B13" s="30" t="str">
        <f>IFERROR(MID(Data!$D5, SEARCH("(", Data!$D5) + 1, SEARCH(")", Data!$D5) - SEARCH("(", Data!$D5) - 1), Data!$D5)</f>
        <v/>
      </c>
      <c r="C13" s="30" t="str">
        <f>IFERROR(MID(Data!$D13, SEARCH("(", Data!$D13) + 1, SEARCH(")", Data!$D13) - SEARCH("(", Data!$D13) - 1), Data!$D13)</f>
        <v/>
      </c>
      <c r="D13" s="30" t="str">
        <f>IFERROR(MID(Data!$D21, SEARCH("(", Data!$D21) + 1, SEARCH(")", Data!$D21) - SEARCH("(", Data!$D21) - 1), Data!$D21)</f>
        <v/>
      </c>
      <c r="E13" s="30" t="str">
        <f>IFERROR(MID(Data!$D29, SEARCH("(", Data!$D29) + 1, SEARCH(")", Data!$D29) - SEARCH("(", Data!$D29) - 1), Data!$D29)</f>
        <v/>
      </c>
      <c r="F13" s="30" t="str">
        <f>IFERROR(MID(Data!$D37, SEARCH("(", Data!$D37) + 1, SEARCH(")", Data!$D37) - SEARCH("(", Data!$D37) - 1), Data!$D37)</f>
        <v/>
      </c>
      <c r="G13" s="30" t="str">
        <f>IFERROR(MID(Data!$D45, SEARCH("(", Data!$D45) + 1, SEARCH(")", Data!$D45) - SEARCH("(", Data!$D45) - 1), Data!$D45)</f>
        <v/>
      </c>
      <c r="H13" s="30" t="str">
        <f>IFERROR(MID(Data!$D53, SEARCH("(", Data!$D53) + 1, SEARCH(")", Data!$D53) - SEARCH("(", Data!$D53) - 1), Data!$D53)</f>
        <v/>
      </c>
      <c r="I13" s="30" t="str">
        <f>IFERROR(MID(Data!$D61, SEARCH("(", Data!$D61) + 1, SEARCH(")", Data!$D61) - SEARCH("(", Data!$D61) - 1), Data!$D61)</f>
        <v/>
      </c>
      <c r="J13" s="30" t="str">
        <f>IFERROR(MID(Data!$D69, SEARCH("(", Data!$D69) + 1, SEARCH(")", Data!$D69) - SEARCH("(", Data!$D69) - 1), Data!$D69)</f>
        <v/>
      </c>
      <c r="K13" s="30" t="str">
        <f>IFERROR(MID(Data!$D77, SEARCH("(", Data!$D77) + 1, SEARCH(")", Data!$D77) - SEARCH("(", Data!$D77) - 1), Data!$D77)</f>
        <v/>
      </c>
      <c r="L13" s="30" t="str">
        <f>IFERROR(MID(Data!$D85, SEARCH("(", Data!$D85) + 1, SEARCH(")", Data!$D85) - SEARCH("(", Data!$D85) - 1), Data!$D85)</f>
        <v/>
      </c>
      <c r="M13" s="30" t="str">
        <f>IFERROR(MID(Data!$D93, SEARCH("(", Data!$D93) + 1, SEARCH(")", Data!$D93) - SEARCH("(", Data!$D93) - 1), Data!$D93)</f>
        <v/>
      </c>
    </row>
    <row r="14" spans="1:16">
      <c r="A14" s="68"/>
      <c r="B14" s="31" t="str">
        <f>IFERROR(MID(Data!$C5, SEARCH("(", Data!$C5) + 1, SEARCH(")", Data!$C5) - SEARCH("(", Data!$C5) - 1), Data!$C5)</f>
        <v/>
      </c>
      <c r="C14" s="31" t="str">
        <f>IFERROR(MID(Data!$C13, SEARCH("(", Data!$C13) + 1, SEARCH(")", Data!$C13) - SEARCH("(", Data!$C13) - 1), Data!$C13)</f>
        <v/>
      </c>
      <c r="D14" s="31" t="str">
        <f>IFERROR(MID(Data!$C21, SEARCH("(", Data!$C21) + 1, SEARCH(")", Data!$C21) - SEARCH("(", Data!$C21) - 1), Data!$C21)</f>
        <v/>
      </c>
      <c r="E14" s="31" t="str">
        <f>IFERROR(MID(Data!$C29, SEARCH("(", Data!$C29) + 1, SEARCH(")", Data!$C29) - SEARCH("(", Data!$C29) - 1), Data!$C29)</f>
        <v/>
      </c>
      <c r="F14" s="31" t="str">
        <f>IFERROR(MID(Data!$C37, SEARCH("(", Data!$C37) + 1, SEARCH(")", Data!$C37) - SEARCH("(", Data!$C37) - 1), Data!$C37)</f>
        <v/>
      </c>
      <c r="G14" s="31" t="str">
        <f>IFERROR(MID(Data!$C45, SEARCH("(", Data!$C45) + 1, SEARCH(")", Data!$C45) - SEARCH("(", Data!$C45) - 1), Data!$C45)</f>
        <v/>
      </c>
      <c r="H14" s="31" t="str">
        <f>IFERROR(MID(Data!$C53, SEARCH("(", Data!$C53) + 1, SEARCH(")", Data!$C53) - SEARCH("(", Data!$C53) - 1), Data!$C53)</f>
        <v/>
      </c>
      <c r="I14" s="31" t="str">
        <f>IFERROR(MID(Data!$C61, SEARCH("(", Data!$C61) + 1, SEARCH(")", Data!$C61) - SEARCH("(", Data!$C61) - 1), Data!$C61)</f>
        <v/>
      </c>
      <c r="J14" s="31" t="str">
        <f>IFERROR(MID(Data!$C69, SEARCH("(", Data!$C69) + 1, SEARCH(")", Data!$C69) - SEARCH("(", Data!$C69) - 1), Data!$C69)</f>
        <v/>
      </c>
      <c r="K14" s="31" t="str">
        <f>IFERROR(MID(Data!$C77, SEARCH("(", Data!$C77) + 1, SEARCH(")", Data!$C77) - SEARCH("(", Data!$C77) - 1), Data!$C77)</f>
        <v/>
      </c>
      <c r="L14" s="31" t="str">
        <f>IFERROR(MID(Data!$C85, SEARCH("(", Data!$C85) + 1, SEARCH(")", Data!$C85) - SEARCH("(", Data!$C85) - 1), Data!$C85)</f>
        <v/>
      </c>
      <c r="M14" s="31" t="str">
        <f>IFERROR(MID(Data!$C93, SEARCH("(", Data!$C93) + 1, SEARCH(")", Data!$C93) - SEARCH("(", Data!$C93) - 1), Data!$C93)</f>
        <v/>
      </c>
    </row>
    <row r="15" spans="1:16">
      <c r="A15" s="66" t="s">
        <v>27</v>
      </c>
      <c r="B15" s="29" t="str">
        <f>IF(Data!$B$6="","", Data!$B$6)</f>
        <v/>
      </c>
      <c r="C15" s="29" t="str">
        <f>IF(Data!$B$14="","", Data!$B$14)</f>
        <v/>
      </c>
      <c r="D15" s="29" t="str">
        <f>IF(Data!$B$22="","", Data!$B$22)</f>
        <v/>
      </c>
      <c r="E15" s="29" t="str">
        <f>IF(Data!$B$30="","", Data!$B$30)</f>
        <v/>
      </c>
      <c r="F15" s="29" t="str">
        <f>IF(Data!$B$38="","", Data!$B$38)</f>
        <v/>
      </c>
      <c r="G15" s="29" t="str">
        <f>IF(Data!$B$46="","", Data!$B$46)</f>
        <v/>
      </c>
      <c r="H15" s="29" t="str">
        <f>IF(Data!$B$54="","", Data!$B$54)</f>
        <v/>
      </c>
      <c r="I15" s="29" t="str">
        <f>IF(Data!$B$62="","", Data!$B$62)</f>
        <v/>
      </c>
      <c r="J15" s="29" t="str">
        <f>IF(Data!$B$70="","", Data!$B$70)</f>
        <v/>
      </c>
      <c r="K15" s="29" t="str">
        <f>IF(Data!$B$78="","", Data!$B$78)</f>
        <v/>
      </c>
      <c r="L15" s="29" t="str">
        <f>IF(Data!$B$86="","", Data!$B$86)</f>
        <v/>
      </c>
      <c r="M15" s="29" t="str">
        <f>IF(Data!$B$94="","", Data!$B$94)</f>
        <v/>
      </c>
    </row>
    <row r="16" spans="1:16">
      <c r="A16" s="67"/>
      <c r="B16" s="30" t="str">
        <f>IFERROR(MID(Data!$D6, SEARCH("(", Data!$D6) + 1, SEARCH(")", Data!$D6) - SEARCH("(", Data!$D6) - 1), Data!$D6)</f>
        <v/>
      </c>
      <c r="C16" s="30" t="str">
        <f>IFERROR(MID(Data!$D14, SEARCH("(", Data!$D14) + 1, SEARCH(")", Data!$D14) - SEARCH("(", Data!$D14) - 1), Data!$D14)</f>
        <v/>
      </c>
      <c r="D16" s="30" t="str">
        <f>IFERROR(MID(Data!$D22, SEARCH("(", Data!$D22) + 1, SEARCH(")", Data!$D22) - SEARCH("(", Data!$D22) - 1), Data!$D22)</f>
        <v/>
      </c>
      <c r="E16" s="30" t="str">
        <f>IFERROR(MID(Data!$D30, SEARCH("(", Data!$D30) + 1, SEARCH(")", Data!$D30) - SEARCH("(", Data!$D30) - 1), Data!$D30)</f>
        <v/>
      </c>
      <c r="F16" s="30" t="str">
        <f>IFERROR(MID(Data!$D38, SEARCH("(", Data!$D38) + 1, SEARCH(")", Data!$D38) - SEARCH("(", Data!$D38) - 1), Data!$D38)</f>
        <v/>
      </c>
      <c r="G16" s="30" t="str">
        <f>IFERROR(MID(Data!$D46, SEARCH("(", Data!$D46) + 1, SEARCH(")", Data!$D46) - SEARCH("(", Data!$D46) - 1), Data!$D46)</f>
        <v/>
      </c>
      <c r="H16" s="30" t="str">
        <f>IFERROR(MID(Data!$D54, SEARCH("(", Data!$D54) + 1, SEARCH(")", Data!$D54) - SEARCH("(", Data!$D54) - 1), Data!$D54)</f>
        <v/>
      </c>
      <c r="I16" s="30" t="str">
        <f>IFERROR(MID(Data!$D62, SEARCH("(", Data!$D62) + 1, SEARCH(")", Data!$D62) - SEARCH("(", Data!$D62) - 1), Data!$D62)</f>
        <v/>
      </c>
      <c r="J16" s="30" t="str">
        <f>IFERROR(MID(Data!$D70, SEARCH("(", Data!$D70) + 1, SEARCH(")", Data!$D70) - SEARCH("(", Data!$D70) - 1), Data!$D70)</f>
        <v/>
      </c>
      <c r="K16" s="30" t="str">
        <f>IFERROR(MID(Data!$D78, SEARCH("(", Data!$D78) + 1, SEARCH(")", Data!$D78) - SEARCH("(", Data!$D78) - 1), Data!$D78)</f>
        <v/>
      </c>
      <c r="L16" s="30" t="str">
        <f>IFERROR(MID(Data!$D86, SEARCH("(", Data!$D86) + 1, SEARCH(")", Data!$D86) - SEARCH("(", Data!$D86) - 1), Data!$D86)</f>
        <v/>
      </c>
      <c r="M16" s="30" t="str">
        <f>IFERROR(MID(Data!$D94, SEARCH("(", Data!$D94) + 1, SEARCH(")", Data!$D94) - SEARCH("(", Data!$D94) - 1), Data!$D94)</f>
        <v/>
      </c>
    </row>
    <row r="17" spans="1:15">
      <c r="A17" s="68"/>
      <c r="B17" s="31" t="str">
        <f>IFERROR(MID(Data!$C6, SEARCH("(", Data!$C6) + 1, SEARCH(")", Data!$C6) - SEARCH("(", Data!$C6) - 1), Data!$C6)</f>
        <v/>
      </c>
      <c r="C17" s="31" t="str">
        <f>IFERROR(MID(Data!$C14, SEARCH("(", Data!$C14) + 1, SEARCH(")", Data!$C14) - SEARCH("(", Data!$C14) - 1), Data!$C14)</f>
        <v/>
      </c>
      <c r="D17" s="31" t="str">
        <f>IFERROR(MID(Data!$C22, SEARCH("(", Data!$C22) + 1, SEARCH(")", Data!$C22) - SEARCH("(", Data!$C22) - 1), Data!$C22)</f>
        <v/>
      </c>
      <c r="E17" s="31" t="str">
        <f>IFERROR(MID(Data!$C30, SEARCH("(", Data!$C30) + 1, SEARCH(")", Data!$C30) - SEARCH("(", Data!$C30) - 1), Data!$C30)</f>
        <v/>
      </c>
      <c r="F17" s="31" t="str">
        <f>IFERROR(MID(Data!$C38, SEARCH("(", Data!$C38) + 1, SEARCH(")", Data!$C38) - SEARCH("(", Data!$C38) - 1), Data!$C38)</f>
        <v/>
      </c>
      <c r="G17" s="31" t="str">
        <f>IFERROR(MID(Data!$C46, SEARCH("(", Data!$C46) + 1, SEARCH(")", Data!$C46) - SEARCH("(", Data!$C46) - 1), Data!$C46)</f>
        <v/>
      </c>
      <c r="H17" s="31" t="str">
        <f>IFERROR(MID(Data!$C54, SEARCH("(", Data!$C54) + 1, SEARCH(")", Data!$C54) - SEARCH("(", Data!$C54) - 1), Data!$C54)</f>
        <v/>
      </c>
      <c r="I17" s="31" t="str">
        <f>IFERROR(MID(Data!$C62, SEARCH("(", Data!$C62) + 1, SEARCH(")", Data!$C62) - SEARCH("(", Data!$C62) - 1), Data!$C62)</f>
        <v/>
      </c>
      <c r="J17" s="31" t="str">
        <f>IFERROR(MID(Data!$C70, SEARCH("(", Data!$C70) + 1, SEARCH(")", Data!$C70) - SEARCH("(", Data!$C70) - 1), Data!$C70)</f>
        <v/>
      </c>
      <c r="K17" s="31" t="str">
        <f>IFERROR(MID(Data!$C78, SEARCH("(", Data!$C78) + 1, SEARCH(")", Data!$C78) - SEARCH("(", Data!$C78) - 1), Data!$C78)</f>
        <v/>
      </c>
      <c r="L17" s="31" t="str">
        <f>IFERROR(MID(Data!$C86, SEARCH("(", Data!$C86) + 1, SEARCH(")", Data!$C86) - SEARCH("(", Data!$C86) - 1), Data!$C86)</f>
        <v/>
      </c>
      <c r="M17" s="31" t="str">
        <f>IFERROR(MID(Data!$C94, SEARCH("(", Data!$C94) + 1, SEARCH(")", Data!$C94) - SEARCH("(", Data!$C94) - 1), Data!$C94)</f>
        <v/>
      </c>
    </row>
    <row r="18" spans="1:15">
      <c r="A18" s="66" t="s">
        <v>28</v>
      </c>
      <c r="B18" s="29" t="str">
        <f>IF(Data!$B$7="","", Data!$B$7)</f>
        <v/>
      </c>
      <c r="C18" s="29" t="str">
        <f>IF(Data!$B$15="","", Data!$B$15)</f>
        <v/>
      </c>
      <c r="D18" s="29" t="str">
        <f>IF(Data!$B$23="","", Data!$B$23)</f>
        <v/>
      </c>
      <c r="E18" s="29" t="str">
        <f>IF(Data!$B$31="","", Data!$B$31)</f>
        <v/>
      </c>
      <c r="F18" s="29" t="str">
        <f>IF(Data!$B$39="","", Data!$B$39)</f>
        <v/>
      </c>
      <c r="G18" s="29" t="str">
        <f>IF(Data!$B$47="","", Data!$B$47)</f>
        <v/>
      </c>
      <c r="H18" s="29" t="str">
        <f>IF(Data!$B$55="","", Data!$B$55)</f>
        <v/>
      </c>
      <c r="I18" s="29" t="str">
        <f>IF(Data!$B$63="","", Data!$B$63)</f>
        <v/>
      </c>
      <c r="J18" s="29" t="str">
        <f>IF(Data!$B$71="","", Data!$B$71)</f>
        <v/>
      </c>
      <c r="K18" s="29" t="str">
        <f>IF(Data!$B$79="","", Data!$B$79)</f>
        <v/>
      </c>
      <c r="L18" s="29" t="str">
        <f>IF(Data!$B$87="","", Data!$B$87)</f>
        <v/>
      </c>
      <c r="M18" s="29" t="str">
        <f>IF(Data!$B$95="","", Data!$B$95)</f>
        <v/>
      </c>
    </row>
    <row r="19" spans="1:15">
      <c r="A19" s="67"/>
      <c r="B19" s="30" t="str">
        <f>IFERROR(MID(Data!$D7, SEARCH("(", Data!$D7) + 1, SEARCH(")", Data!$D7) - SEARCH("(", Data!$D7) - 1), Data!$D7)</f>
        <v/>
      </c>
      <c r="C19" s="30" t="str">
        <f>IFERROR(MID(Data!$D15, SEARCH("(", Data!$D15) + 1, SEARCH(")", Data!$D15) - SEARCH("(", Data!$D15) - 1), Data!$D15)</f>
        <v/>
      </c>
      <c r="D19" s="30" t="str">
        <f>IFERROR(MID(Data!$D23, SEARCH("(", Data!$D23) + 1, SEARCH(")", Data!$D23) - SEARCH("(", Data!$D23) - 1), Data!$D23)</f>
        <v/>
      </c>
      <c r="E19" s="30" t="str">
        <f>IFERROR(MID(Data!$D31, SEARCH("(", Data!$D31) + 1, SEARCH(")", Data!$D31) - SEARCH("(", Data!$D31) - 1), Data!$D31)</f>
        <v/>
      </c>
      <c r="F19" s="30" t="str">
        <f>IFERROR(MID(Data!$D39, SEARCH("(", Data!$D39) + 1, SEARCH(")", Data!$D39) - SEARCH("(", Data!$D39) - 1), Data!$D39)</f>
        <v/>
      </c>
      <c r="G19" s="30" t="str">
        <f>IFERROR(MID(Data!$D47, SEARCH("(", Data!$D47) + 1, SEARCH(")", Data!$D47) - SEARCH("(", Data!$D47) - 1), Data!$D47)</f>
        <v/>
      </c>
      <c r="H19" s="30" t="str">
        <f>IFERROR(MID(Data!$D55, SEARCH("(", Data!$D55) + 1, SEARCH(")", Data!$D55) - SEARCH("(", Data!$D55) - 1), Data!$D55)</f>
        <v/>
      </c>
      <c r="I19" s="30" t="str">
        <f>IFERROR(MID(Data!$D63, SEARCH("(", Data!$D63) + 1, SEARCH(")", Data!$D63) - SEARCH("(", Data!$D63) - 1), Data!$D63)</f>
        <v/>
      </c>
      <c r="J19" s="30" t="str">
        <f>IFERROR(MID(Data!$D71, SEARCH("(", Data!$D71) + 1, SEARCH(")", Data!$D71) - SEARCH("(", Data!$D71) - 1), Data!$D71)</f>
        <v/>
      </c>
      <c r="K19" s="30" t="str">
        <f>IFERROR(MID(Data!$D79, SEARCH("(", Data!$D79) + 1, SEARCH(")", Data!$D79) - SEARCH("(", Data!$D79) - 1), Data!$D79)</f>
        <v/>
      </c>
      <c r="L19" s="30" t="str">
        <f>IFERROR(MID(Data!$D87, SEARCH("(", Data!$D87) + 1, SEARCH(")", Data!$D87) - SEARCH("(", Data!$D87) - 1), Data!$D87)</f>
        <v/>
      </c>
      <c r="M19" s="30" t="str">
        <f>IFERROR(MID(Data!$D95, SEARCH("(", Data!$D95) + 1, SEARCH(")", Data!$D95) - SEARCH("(", Data!$D95) - 1), Data!$D95)</f>
        <v/>
      </c>
    </row>
    <row r="20" spans="1:15">
      <c r="A20" s="68"/>
      <c r="B20" s="31" t="str">
        <f>IFERROR(MID(Data!$C7, SEARCH("(", Data!$C7) + 1, SEARCH(")", Data!$C7) - SEARCH("(", Data!$C7) - 1), Data!$C7)</f>
        <v/>
      </c>
      <c r="C20" s="31" t="str">
        <f>IFERROR(MID(Data!$C15, SEARCH("(", Data!$C15) + 1, SEARCH(")", Data!$C15) - SEARCH("(", Data!$C15) - 1), Data!$C15)</f>
        <v/>
      </c>
      <c r="D20" s="31" t="str">
        <f>IFERROR(MID(Data!$C23, SEARCH("(", Data!$C23) + 1, SEARCH(")", Data!$C23) - SEARCH("(", Data!$C23) - 1), Data!$C23)</f>
        <v/>
      </c>
      <c r="E20" s="31" t="str">
        <f>IFERROR(MID(Data!$C31, SEARCH("(", Data!$C31) + 1, SEARCH(")", Data!$C31) - SEARCH("(", Data!$C31) - 1), Data!$C31)</f>
        <v/>
      </c>
      <c r="F20" s="31" t="str">
        <f>IFERROR(MID(Data!$C39, SEARCH("(", Data!$C39) + 1, SEARCH(")", Data!$C39) - SEARCH("(", Data!$C39) - 1), Data!$C39)</f>
        <v/>
      </c>
      <c r="G20" s="31" t="str">
        <f>IFERROR(MID(Data!$C47, SEARCH("(", Data!$C47) + 1, SEARCH(")", Data!$C47) - SEARCH("(", Data!$C47) - 1), Data!$C47)</f>
        <v/>
      </c>
      <c r="H20" s="31" t="str">
        <f>IFERROR(MID(Data!$C55, SEARCH("(", Data!$C55) + 1, SEARCH(")", Data!$C55) - SEARCH("(", Data!$C55) - 1), Data!$C55)</f>
        <v/>
      </c>
      <c r="I20" s="31" t="str">
        <f>IFERROR(MID(Data!$C63, SEARCH("(", Data!$C63) + 1, SEARCH(")", Data!$C63) - SEARCH("(", Data!$C63) - 1), Data!$C63)</f>
        <v/>
      </c>
      <c r="J20" s="31" t="str">
        <f>IFERROR(MID(Data!$C71, SEARCH("(", Data!$C71) + 1, SEARCH(")", Data!$C71) - SEARCH("(", Data!$C71) - 1), Data!$C71)</f>
        <v/>
      </c>
      <c r="K20" s="31" t="str">
        <f>IFERROR(MID(Data!$C79, SEARCH("(", Data!$C79) + 1, SEARCH(")", Data!$C79) - SEARCH("(", Data!$C79) - 1), Data!$C79)</f>
        <v/>
      </c>
      <c r="L20" s="31" t="str">
        <f>IFERROR(MID(Data!$C87, SEARCH("(", Data!$C87) + 1, SEARCH(")", Data!$C87) - SEARCH("(", Data!$C87) - 1), Data!$C87)</f>
        <v/>
      </c>
      <c r="M20" s="31" t="str">
        <f>IFERROR(MID(Data!$C95, SEARCH("(", Data!$C95) + 1, SEARCH(")", Data!$C95) - SEARCH("(", Data!$C95) - 1), Data!$C95)</f>
        <v/>
      </c>
    </row>
    <row r="21" spans="1:15">
      <c r="A21" s="66" t="s">
        <v>29</v>
      </c>
      <c r="B21" s="29" t="str">
        <f>IF(Data!$B$8="","", Data!$B$8)</f>
        <v/>
      </c>
      <c r="C21" s="29" t="str">
        <f>IF(Data!$B$16="","", Data!$B$16)</f>
        <v/>
      </c>
      <c r="D21" s="29" t="str">
        <f>IF(Data!$B$24="","", Data!$B$24)</f>
        <v/>
      </c>
      <c r="E21" s="29" t="str">
        <f>IF(Data!$B$32="","", Data!$B$32)</f>
        <v/>
      </c>
      <c r="F21" s="29" t="str">
        <f>IF(Data!$B$40="","", Data!$B$40)</f>
        <v/>
      </c>
      <c r="G21" s="29" t="str">
        <f>IF(Data!$B$48="","", Data!$B$48)</f>
        <v/>
      </c>
      <c r="H21" s="29" t="str">
        <f>IF(Data!$B$56="","", Data!$B$56)</f>
        <v/>
      </c>
      <c r="I21" s="29" t="str">
        <f>IF(Data!$B$64="","", Data!$B$64)</f>
        <v/>
      </c>
      <c r="J21" s="29" t="str">
        <f>IF(Data!$B$72="","", Data!$B$72)</f>
        <v/>
      </c>
      <c r="K21" s="29" t="str">
        <f>IF(Data!$B$80="","", Data!$B$80)</f>
        <v/>
      </c>
      <c r="L21" s="29" t="str">
        <f>IF(Data!$B$88="","", Data!$B$88)</f>
        <v/>
      </c>
      <c r="M21" s="29" t="str">
        <f>IF(Data!$B$96="","", Data!$B$96)</f>
        <v/>
      </c>
    </row>
    <row r="22" spans="1:15">
      <c r="A22" s="67"/>
      <c r="B22" s="30" t="str">
        <f>IFERROR(MID(Data!$D8, SEARCH("(", Data!$D8) + 1, SEARCH(")", Data!$D8) - SEARCH("(", Data!$D8) - 1), Data!$D8)</f>
        <v/>
      </c>
      <c r="C22" s="30" t="str">
        <f>IFERROR(MID(Data!$D16, SEARCH("(", Data!$D16) + 1, SEARCH(")", Data!$D16) - SEARCH("(", Data!$D16) - 1), Data!$D16)</f>
        <v/>
      </c>
      <c r="D22" s="30" t="str">
        <f>IFERROR(MID(Data!$D24, SEARCH("(", Data!$D24) + 1, SEARCH(")", Data!$D24) - SEARCH("(", Data!$D24) - 1), Data!$D24)</f>
        <v/>
      </c>
      <c r="E22" s="30" t="str">
        <f>IFERROR(MID(Data!$D32, SEARCH("(", Data!$D32) + 1, SEARCH(")", Data!$D32) - SEARCH("(", Data!$D32) - 1), Data!$D32)</f>
        <v/>
      </c>
      <c r="F22" s="30" t="str">
        <f>IFERROR(MID(Data!$D40, SEARCH("(", Data!$D40) + 1, SEARCH(")", Data!$D40) - SEARCH("(", Data!$D40) - 1), Data!$D40)</f>
        <v/>
      </c>
      <c r="G22" s="30" t="str">
        <f>IFERROR(MID(Data!$D48, SEARCH("(", Data!$D48) + 1, SEARCH(")", Data!$D48) - SEARCH("(", Data!$D48) - 1), Data!$D48)</f>
        <v/>
      </c>
      <c r="H22" s="30" t="str">
        <f>IFERROR(MID(Data!$D56, SEARCH("(", Data!$D56) + 1, SEARCH(")", Data!$D56) - SEARCH("(", Data!$D56) - 1), Data!$D56)</f>
        <v/>
      </c>
      <c r="I22" s="30" t="str">
        <f>IFERROR(MID(Data!$D64, SEARCH("(", Data!$D64) + 1, SEARCH(")", Data!$D64) - SEARCH("(", Data!$D64) - 1), Data!$D64)</f>
        <v/>
      </c>
      <c r="J22" s="30" t="str">
        <f>IFERROR(MID(Data!$D72, SEARCH("(", Data!$D72) + 1, SEARCH(")", Data!$D72) - SEARCH("(", Data!$D72) - 1), Data!$D72)</f>
        <v/>
      </c>
      <c r="K22" s="30" t="str">
        <f>IFERROR(MID(Data!$D80, SEARCH("(", Data!$D80) + 1, SEARCH(")", Data!$D80) - SEARCH("(", Data!$D80) - 1), Data!$D80)</f>
        <v/>
      </c>
      <c r="L22" s="30" t="str">
        <f>IFERROR(MID(Data!$D88, SEARCH("(", Data!$D88) + 1, SEARCH(")", Data!$D88) - SEARCH("(", Data!$D88) - 1), Data!$D88)</f>
        <v/>
      </c>
      <c r="M22" s="30" t="str">
        <f>IFERROR(MID(Data!$D96, SEARCH("(", Data!$D96) + 1, SEARCH(")", Data!$D96) - SEARCH("(", Data!$D96) - 1), Data!$D96)</f>
        <v/>
      </c>
    </row>
    <row r="23" spans="1:15">
      <c r="A23" s="68"/>
      <c r="B23" s="31" t="str">
        <f>IFERROR(MID(Data!$C8, SEARCH("(", Data!$C8) + 1, SEARCH(")", Data!$C8) - SEARCH("(", Data!$C8) - 1), Data!$C8)</f>
        <v/>
      </c>
      <c r="C23" s="31" t="str">
        <f>IFERROR(MID(Data!$C16, SEARCH("(", Data!$C16) + 1, SEARCH(")", Data!$C16) - SEARCH("(", Data!$C16) - 1), Data!$C16)</f>
        <v/>
      </c>
      <c r="D23" s="31" t="str">
        <f>IFERROR(MID(Data!$C24, SEARCH("(", Data!$C24) + 1, SEARCH(")", Data!$C24) - SEARCH("(", Data!$C24) - 1), Data!$C24)</f>
        <v/>
      </c>
      <c r="E23" s="31" t="str">
        <f>IFERROR(MID(Data!$C32, SEARCH("(", Data!$C32) + 1, SEARCH(")", Data!$C32) - SEARCH("(", Data!$C32) - 1), Data!$C32)</f>
        <v/>
      </c>
      <c r="F23" s="31" t="str">
        <f>IFERROR(MID(Data!$C40, SEARCH("(", Data!$C40) + 1, SEARCH(")", Data!$C40) - SEARCH("(", Data!$C40) - 1), Data!$C40)</f>
        <v/>
      </c>
      <c r="G23" s="31" t="str">
        <f>IFERROR(MID(Data!$C48, SEARCH("(", Data!$C48) + 1, SEARCH(")", Data!$C48) - SEARCH("(", Data!$C48) - 1), Data!$C48)</f>
        <v/>
      </c>
      <c r="H23" s="31" t="str">
        <f>IFERROR(MID(Data!$C56, SEARCH("(", Data!$C56) + 1, SEARCH(")", Data!$C56) - SEARCH("(", Data!$C56) - 1), Data!$C56)</f>
        <v/>
      </c>
      <c r="I23" s="31" t="str">
        <f>IFERROR(MID(Data!$C64, SEARCH("(", Data!$C64) + 1, SEARCH(")", Data!$C64) - SEARCH("(", Data!$C64) - 1), Data!$C64)</f>
        <v/>
      </c>
      <c r="J23" s="31" t="str">
        <f>IFERROR(MID(Data!$C72, SEARCH("(", Data!$C72) + 1, SEARCH(")", Data!$C72) - SEARCH("(", Data!$C72) - 1), Data!$C72)</f>
        <v/>
      </c>
      <c r="K23" s="31" t="str">
        <f>IFERROR(MID(Data!$C80, SEARCH("(", Data!$C80) + 1, SEARCH(")", Data!$C80) - SEARCH("(", Data!$C80) - 1), Data!$C80)</f>
        <v/>
      </c>
      <c r="L23" s="31" t="str">
        <f>IFERROR(MID(Data!$C88, SEARCH("(", Data!$C88) + 1, SEARCH(")", Data!$C88) - SEARCH("(", Data!$C88) - 1), Data!$C88)</f>
        <v/>
      </c>
      <c r="M23" s="31" t="str">
        <f>IFERROR(MID(Data!$C96, SEARCH("(", Data!$C96) + 1, SEARCH(")", Data!$C96) - SEARCH("(", Data!$C96) - 1), Data!$C96)</f>
        <v/>
      </c>
    </row>
    <row r="24" spans="1:15">
      <c r="A24" s="69" t="s">
        <v>32</v>
      </c>
      <c r="B24" s="29" t="str">
        <f>IF(Data!$B$9="","", Data!$B$9)</f>
        <v/>
      </c>
      <c r="C24" s="29" t="str">
        <f>IF(Data!$B$17="","", Data!$B$17)</f>
        <v/>
      </c>
      <c r="D24" s="29" t="str">
        <f>IF(Data!$B$25="","", Data!$B$25)</f>
        <v/>
      </c>
      <c r="E24" s="29" t="str">
        <f>IF(Data!$B$33="","", Data!$B$33)</f>
        <v/>
      </c>
      <c r="F24" s="29" t="str">
        <f>IF(Data!$B$41="","", Data!$B$41)</f>
        <v/>
      </c>
      <c r="G24" s="29" t="str">
        <f>IF(Data!$B$49="","", Data!$B$49)</f>
        <v/>
      </c>
      <c r="H24" s="29" t="str">
        <f>IF(Data!$B$57="","", Data!$B$57)</f>
        <v/>
      </c>
      <c r="I24" s="29" t="str">
        <f>IF(Data!$B$65="","", Data!$B$65)</f>
        <v/>
      </c>
      <c r="J24" s="29" t="str">
        <f>IF(Data!$B$73="","", Data!$B$73)</f>
        <v/>
      </c>
      <c r="K24" s="29" t="str">
        <f>IF(Data!$B$81="","", Data!$B$81)</f>
        <v/>
      </c>
      <c r="L24" s="29" t="str">
        <f>IF(Data!$B$89="","", Data!$B$89)</f>
        <v/>
      </c>
      <c r="M24" s="29" t="str">
        <f>IF(Data!$B$97="","", Data!$B$97)</f>
        <v/>
      </c>
    </row>
    <row r="25" spans="1:15">
      <c r="A25" s="69"/>
      <c r="B25" s="30" t="str">
        <f>IFERROR(MID(Data!$D9, SEARCH("(", Data!$D9) + 1, SEARCH(")", Data!$D9) - SEARCH("(", Data!$D9) - 1), Data!$D9)</f>
        <v/>
      </c>
      <c r="C25" s="30" t="str">
        <f>IFERROR(MID(Data!$D17, SEARCH("(", Data!$D17) + 1, SEARCH(")", Data!$D17) - SEARCH("(", Data!$D17) - 1), Data!$D17)</f>
        <v/>
      </c>
      <c r="D25" s="30" t="str">
        <f>IFERROR(MID(Data!$D25, SEARCH("(", Data!$D25) + 1, SEARCH(")", Data!$D25) - SEARCH("(", Data!$D25) - 1), Data!$D25)</f>
        <v/>
      </c>
      <c r="E25" s="30" t="str">
        <f>IFERROR(MID(Data!$D33, SEARCH("(", Data!$D33) + 1, SEARCH(")", Data!$D33) - SEARCH("(", Data!$D33) - 1), Data!$D33)</f>
        <v/>
      </c>
      <c r="F25" s="30" t="str">
        <f>IFERROR(MID(Data!$D41, SEARCH("(", Data!$D41) + 1, SEARCH(")", Data!$D41) - SEARCH("(", Data!$D41) - 1), Data!$D41)</f>
        <v/>
      </c>
      <c r="G25" s="30" t="str">
        <f>IFERROR(MID(Data!$D49, SEARCH("(", Data!$D49) + 1, SEARCH(")", Data!$D49) - SEARCH("(", Data!$D49) - 1), Data!$D49)</f>
        <v/>
      </c>
      <c r="H25" s="30" t="str">
        <f>IFERROR(MID(Data!$D57, SEARCH("(", Data!$D57) + 1, SEARCH(")", Data!$D57) - SEARCH("(", Data!$D57) - 1), Data!$D57)</f>
        <v/>
      </c>
      <c r="I25" s="30" t="str">
        <f>IFERROR(MID(Data!$D65, SEARCH("(", Data!$D65) + 1, SEARCH(")", Data!$D65) - SEARCH("(", Data!$D65) - 1), Data!$D65)</f>
        <v/>
      </c>
      <c r="J25" s="30" t="str">
        <f>IFERROR(MID(Data!$D73, SEARCH("(", Data!$D73) + 1, SEARCH(")", Data!$D73) - SEARCH("(", Data!$D73) - 1), Data!$D73)</f>
        <v/>
      </c>
      <c r="K25" s="30" t="str">
        <f>IFERROR(MID(Data!$D81, SEARCH("(", Data!$D81) + 1, SEARCH(")", Data!$D81) - SEARCH("(", Data!$D81) - 1), Data!$D81)</f>
        <v/>
      </c>
      <c r="L25" s="30" t="str">
        <f>IFERROR(MID(Data!$D89, SEARCH("(", Data!$D89) + 1, SEARCH(")", Data!$D89) - SEARCH("(", Data!$D89) - 1), Data!$D89)</f>
        <v/>
      </c>
      <c r="M25" s="30" t="str">
        <f>IFERROR(MID(Data!$D97, SEARCH("(", Data!$D97) + 1, SEARCH(")", Data!$D97) - SEARCH("(", Data!$D97) - 1), Data!$D97)</f>
        <v/>
      </c>
    </row>
    <row r="26" spans="1:15">
      <c r="A26" s="69"/>
      <c r="B26" s="31" t="str">
        <f>IFERROR(MID(Data!$C9, SEARCH("(", Data!$C9) + 1, SEARCH(")", Data!$C9) - SEARCH("(", Data!$C9) - 1), Data!$C9)</f>
        <v/>
      </c>
      <c r="C26" s="31" t="str">
        <f>IFERROR(MID(Data!$C17, SEARCH("(", Data!$C17) + 1, SEARCH(")", Data!$C17) - SEARCH("(", Data!$C17) - 1), Data!$C17)</f>
        <v/>
      </c>
      <c r="D26" s="31" t="str">
        <f>IFERROR(MID(Data!$C25, SEARCH("(", Data!$C25) + 1, SEARCH(")", Data!$C25) - SEARCH("(", Data!$C25) - 1), Data!$C25)</f>
        <v/>
      </c>
      <c r="E26" s="31" t="str">
        <f>IFERROR(MID(Data!$C33, SEARCH("(", Data!$C33) + 1, SEARCH(")", Data!$C33) - SEARCH("(", Data!$C33) - 1), Data!$C33)</f>
        <v/>
      </c>
      <c r="F26" s="31" t="str">
        <f>IFERROR(MID(Data!$C41, SEARCH("(", Data!$C41) + 1, SEARCH(")", Data!$C41) - SEARCH("(", Data!$C41) - 1), Data!$C41)</f>
        <v/>
      </c>
      <c r="G26" s="31" t="str">
        <f>IFERROR(MID(Data!$C49, SEARCH("(", Data!$C49) + 1, SEARCH(")", Data!$C49) - SEARCH("(", Data!$C49) - 1), Data!$C49)</f>
        <v/>
      </c>
      <c r="H26" s="31" t="str">
        <f>IFERROR(MID(Data!$C57, SEARCH("(", Data!$C57) + 1, SEARCH(")", Data!$C57) - SEARCH("(", Data!$C57) - 1), Data!$C57)</f>
        <v/>
      </c>
      <c r="I26" s="31" t="str">
        <f>IFERROR(MID(Data!$C65, SEARCH("(", Data!$C65) + 1, SEARCH(")", Data!$C65) - SEARCH("(", Data!$C65) - 1), Data!$C65)</f>
        <v/>
      </c>
      <c r="J26" s="31" t="str">
        <f>IFERROR(MID(Data!$C73, SEARCH("(", Data!$C73) + 1, SEARCH(")", Data!$C73) - SEARCH("(", Data!$C73) - 1), Data!$C73)</f>
        <v/>
      </c>
      <c r="K26" s="31" t="str">
        <f>IFERROR(MID(Data!$C81, SEARCH("(", Data!$C81) + 1, SEARCH(")", Data!$C81) - SEARCH("(", Data!$C81) - 1), Data!$C81)</f>
        <v/>
      </c>
      <c r="L26" s="31" t="str">
        <f>IFERROR(MID(Data!$C89, SEARCH("(", Data!$C89) + 1, SEARCH(")", Data!$C89) - SEARCH("(", Data!$C89) - 1), Data!$C89)</f>
        <v/>
      </c>
      <c r="M26" s="31" t="str">
        <f>IFERROR(MID(Data!$C97, SEARCH("(", Data!$C97) + 1, SEARCH(")", Data!$C97) - SEARCH("(", Data!$C97) - 1), Data!$C97)</f>
        <v/>
      </c>
    </row>
    <row r="27" spans="1:15">
      <c r="D27" s="5"/>
      <c r="E27" s="5"/>
      <c r="F27" s="5"/>
      <c r="G27" s="5"/>
      <c r="I27" s="6"/>
      <c r="J27" s="5"/>
      <c r="K27" s="5"/>
    </row>
    <row r="28" spans="1:15">
      <c r="C28" s="64" t="s">
        <v>137</v>
      </c>
      <c r="D28" s="64"/>
      <c r="E28" s="57">
        <f>96-(COUNTBLANK(Data!B2:B97))</f>
        <v>1</v>
      </c>
      <c r="F28" s="5"/>
      <c r="G28" s="5"/>
      <c r="H28" s="5" t="s">
        <v>139</v>
      </c>
      <c r="I28" s="5"/>
      <c r="J28" s="5"/>
      <c r="K28" s="56" t="s">
        <v>140</v>
      </c>
      <c r="L28" s="5"/>
      <c r="M28" s="5"/>
      <c r="O28" s="5"/>
    </row>
    <row r="29" spans="1:15">
      <c r="C29" s="64" t="s">
        <v>138</v>
      </c>
      <c r="D29" s="64"/>
      <c r="F29" s="8"/>
      <c r="H29" s="8"/>
      <c r="K29" s="56" t="s">
        <v>141</v>
      </c>
      <c r="L29" s="5"/>
      <c r="M29" s="5"/>
    </row>
    <row r="30" spans="1:15">
      <c r="C30" s="64" t="s">
        <v>36</v>
      </c>
      <c r="D30" s="64"/>
      <c r="E30" s="3"/>
      <c r="F30" s="8"/>
      <c r="H30" s="8"/>
      <c r="J30" s="55"/>
      <c r="K30" s="56" t="s">
        <v>142</v>
      </c>
      <c r="M30" s="5" t="s">
        <v>143</v>
      </c>
      <c r="O30" s="5"/>
    </row>
    <row r="31" spans="1:15">
      <c r="B31" s="5"/>
      <c r="C31" s="3"/>
      <c r="E31" s="8"/>
      <c r="J31" s="9"/>
      <c r="K31" s="56" t="s">
        <v>144</v>
      </c>
      <c r="L31" s="5"/>
      <c r="M31" s="5" t="s">
        <v>145</v>
      </c>
      <c r="N31" s="5"/>
    </row>
    <row r="32" spans="1:15">
      <c r="B32" s="5"/>
      <c r="C32" s="8"/>
      <c r="E32" s="5"/>
      <c r="G32" s="5"/>
      <c r="I32" s="8"/>
      <c r="J32" s="9"/>
      <c r="K32" s="8"/>
      <c r="L32" s="7"/>
      <c r="M32" s="5"/>
      <c r="N32" s="5"/>
    </row>
    <row r="33" spans="2:14">
      <c r="B33" s="5"/>
      <c r="I33" s="5"/>
      <c r="J33" s="5"/>
      <c r="K33" s="8"/>
      <c r="L33" s="7"/>
      <c r="M33" s="5"/>
      <c r="N33" s="5"/>
    </row>
  </sheetData>
  <mergeCells count="13">
    <mergeCell ref="A12:A14"/>
    <mergeCell ref="A1:D1"/>
    <mergeCell ref="L1:M1"/>
    <mergeCell ref="A3:A5"/>
    <mergeCell ref="A6:A8"/>
    <mergeCell ref="A9:A11"/>
    <mergeCell ref="C30:D30"/>
    <mergeCell ref="A15:A17"/>
    <mergeCell ref="A18:A20"/>
    <mergeCell ref="A21:A23"/>
    <mergeCell ref="A24:A26"/>
    <mergeCell ref="C28:D28"/>
    <mergeCell ref="C29:D29"/>
  </mergeCells>
  <pageMargins left="0.28749999999999998" right="0.104" top="1" bottom="1" header="0.5" footer="0.5"/>
  <pageSetup paperSize="9" scale="75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" operator="beginsWith" text="POS" id="{F2508090-3DAA-4E3A-B3B9-109633C25980}">
            <xm:f>LEFT(Layout!B5,LEN("POS"))="POS"</xm:f>
            <x14:dxf>
              <fill>
                <patternFill>
                  <bgColor rgb="FFFFFF00"/>
                </patternFill>
              </fill>
            </x14:dxf>
          </x14:cfRule>
          <xm:sqref>B5:M5 B8:M8 B11:M11 B14:M14 B17:M17 B20:M20 B23:M23 B26:M26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01"/>
  <sheetViews>
    <sheetView zoomScale="85" zoomScaleNormal="85" workbookViewId="0">
      <selection activeCell="H7" sqref="H7"/>
    </sheetView>
  </sheetViews>
  <sheetFormatPr defaultColWidth="9" defaultRowHeight="12.75"/>
  <cols>
    <col min="1" max="1" width="24.75" style="10" customWidth="1"/>
    <col min="2" max="2" width="42.5" style="10" bestFit="1" customWidth="1"/>
    <col min="3" max="3" width="24.75" style="10" bestFit="1" customWidth="1"/>
    <col min="4" max="4" width="19.25" style="10" bestFit="1" customWidth="1"/>
    <col min="5" max="5" width="21.5" style="10" bestFit="1" customWidth="1"/>
    <col min="6" max="6" width="24.375" style="10" bestFit="1" customWidth="1"/>
    <col min="7" max="7" width="9.625" style="10" bestFit="1" customWidth="1"/>
    <col min="8" max="8" width="13" style="10" bestFit="1" customWidth="1"/>
    <col min="9" max="9" width="15.5" style="10" bestFit="1" customWidth="1"/>
    <col min="10" max="16384" width="9" style="1"/>
  </cols>
  <sheetData>
    <row r="1" spans="1:9">
      <c r="A1" s="39" t="s">
        <v>135</v>
      </c>
      <c r="B1" s="40" t="s">
        <v>136</v>
      </c>
      <c r="C1" s="40" t="s">
        <v>37</v>
      </c>
      <c r="D1" s="40" t="s">
        <v>38</v>
      </c>
      <c r="E1" s="40" t="s">
        <v>39</v>
      </c>
      <c r="F1" s="40" t="s">
        <v>40</v>
      </c>
      <c r="G1" s="40" t="s">
        <v>41</v>
      </c>
      <c r="H1" s="40" t="s">
        <v>42</v>
      </c>
      <c r="I1" s="41" t="s">
        <v>43</v>
      </c>
    </row>
    <row r="2" spans="1:9">
      <c r="A2" s="42" t="str">
        <f ca="1">B2</f>
        <v>Sequencing_layout_v4.</v>
      </c>
      <c r="B2" s="43" t="str">
        <f ca="1">MID(CELL("filename"),SEARCH("[",CELL("filename"))+1,SEARCH("]",CELL("filename"))-SEARCH("[",CELL("filename"))-5)</f>
        <v>Sequencing_layout_v4.</v>
      </c>
      <c r="C2" s="43" t="str">
        <f ca="1">B2</f>
        <v>Sequencing_layout_v4.</v>
      </c>
      <c r="D2" s="43" t="s">
        <v>44</v>
      </c>
      <c r="E2" s="43" t="s">
        <v>45</v>
      </c>
      <c r="F2" s="43" t="s">
        <v>46</v>
      </c>
      <c r="G2" s="43" t="s">
        <v>46</v>
      </c>
      <c r="H2" s="43" t="s">
        <v>47</v>
      </c>
      <c r="I2" s="44">
        <v>1234</v>
      </c>
    </row>
    <row r="3" spans="1:9">
      <c r="A3" s="42" t="s">
        <v>48</v>
      </c>
      <c r="B3" s="43" t="s">
        <v>49</v>
      </c>
      <c r="C3" s="43"/>
      <c r="D3" s="43"/>
      <c r="E3" s="43"/>
      <c r="F3" s="43"/>
      <c r="G3" s="45"/>
      <c r="H3" s="45"/>
      <c r="I3" s="46"/>
    </row>
    <row r="4" spans="1:9" ht="13.5" thickBot="1">
      <c r="A4" s="47" t="s">
        <v>50</v>
      </c>
      <c r="B4" s="48"/>
      <c r="C4" s="48"/>
      <c r="D4" s="48"/>
      <c r="E4" s="48"/>
      <c r="F4" s="48"/>
      <c r="G4" s="49"/>
      <c r="H4" s="49"/>
      <c r="I4" s="50"/>
    </row>
    <row r="5" spans="1:9">
      <c r="A5" s="52" t="s">
        <v>51</v>
      </c>
      <c r="B5" s="53" t="s">
        <v>131</v>
      </c>
      <c r="C5" s="53" t="s">
        <v>52</v>
      </c>
      <c r="D5" s="53" t="s">
        <v>132</v>
      </c>
      <c r="E5" s="53" t="s">
        <v>133</v>
      </c>
      <c r="F5" s="54" t="s">
        <v>134</v>
      </c>
      <c r="G5" s="1"/>
      <c r="H5" s="1"/>
      <c r="I5" s="1"/>
    </row>
    <row r="6" spans="1:9">
      <c r="A6" s="42" t="s">
        <v>53</v>
      </c>
      <c r="B6" s="1" t="str">
        <f>IF(
       VLOOKUP(A6,
                            Data!$A$2:$F$97,
                            6,
                            FALSE)
        = "",
         "-",
         VLOOKUP(A6,
                              Data!$A$2:$F$97,
                              6,
                              FALSE)
         )</f>
        <v xml:space="preserve"> (#A1)-0-A01</v>
      </c>
      <c r="C6" s="10" t="s">
        <v>24</v>
      </c>
      <c r="D6" s="10" t="s">
        <v>125</v>
      </c>
      <c r="E6" s="10" t="s">
        <v>126</v>
      </c>
      <c r="F6" s="36" t="s">
        <v>127</v>
      </c>
      <c r="G6" s="1"/>
      <c r="H6" s="1"/>
      <c r="I6" s="1"/>
    </row>
    <row r="7" spans="1:9">
      <c r="A7" s="42" t="s">
        <v>54</v>
      </c>
      <c r="B7" s="1" t="str">
        <f>IF(
       VLOOKUP(A7,
                            Data!$A$2:$F$97,
                            6,
                            FALSE)
        = "",
         "-",
         VLOOKUP(A7,
                              Data!$A$2:$F$97,
                              6,
                              FALSE)
         )</f>
        <v>-</v>
      </c>
      <c r="C7" s="10" t="s">
        <v>24</v>
      </c>
      <c r="D7" s="10" t="s">
        <v>125</v>
      </c>
      <c r="E7" s="10" t="s">
        <v>126</v>
      </c>
      <c r="F7" s="36" t="s">
        <v>127</v>
      </c>
      <c r="G7" s="1"/>
      <c r="H7" s="1"/>
      <c r="I7" s="1"/>
    </row>
    <row r="8" spans="1:9">
      <c r="A8" s="42" t="s">
        <v>55</v>
      </c>
      <c r="B8" s="1" t="str">
        <f>IF(
       VLOOKUP(A8,
                            Data!$A$2:$F$97,
                            6,
                            FALSE)
        = "",
         "-",
         VLOOKUP(A8,
                              Data!$A$2:$F$97,
                              6,
                              FALSE)
         )</f>
        <v>-</v>
      </c>
      <c r="C8" s="10" t="s">
        <v>24</v>
      </c>
      <c r="D8" s="10" t="s">
        <v>125</v>
      </c>
      <c r="E8" s="10" t="s">
        <v>126</v>
      </c>
      <c r="F8" s="36" t="s">
        <v>127</v>
      </c>
      <c r="G8" s="1"/>
      <c r="H8" s="1"/>
      <c r="I8" s="1"/>
    </row>
    <row r="9" spans="1:9">
      <c r="A9" s="42" t="s">
        <v>56</v>
      </c>
      <c r="B9" s="1" t="str">
        <f>IF(
       VLOOKUP(A9,
                            Data!$A$2:$F$97,
                            6,
                            FALSE)
        = "",
         "-",
         VLOOKUP(A9,
                              Data!$A$2:$F$97,
                              6,
                              FALSE)
         )</f>
        <v>-</v>
      </c>
      <c r="C9" s="10" t="s">
        <v>24</v>
      </c>
      <c r="D9" s="10" t="s">
        <v>125</v>
      </c>
      <c r="E9" s="10" t="s">
        <v>126</v>
      </c>
      <c r="F9" s="36" t="s">
        <v>127</v>
      </c>
      <c r="G9" s="1"/>
      <c r="H9" s="1"/>
      <c r="I9" s="1"/>
    </row>
    <row r="10" spans="1:9">
      <c r="A10" s="42" t="s">
        <v>57</v>
      </c>
      <c r="B10" s="1" t="str">
        <f>IF(
       VLOOKUP(A10,
                            Data!$A$2:$F$97,
                            6,
                            FALSE)
        = "",
         "-",
         VLOOKUP(A10,
                              Data!$A$2:$F$97,
                              6,
                              FALSE)
         )</f>
        <v>-</v>
      </c>
      <c r="C10" s="10" t="s">
        <v>24</v>
      </c>
      <c r="D10" s="10" t="s">
        <v>125</v>
      </c>
      <c r="E10" s="10" t="s">
        <v>126</v>
      </c>
      <c r="F10" s="36" t="s">
        <v>127</v>
      </c>
      <c r="G10" s="1"/>
      <c r="H10" s="1"/>
      <c r="I10" s="1"/>
    </row>
    <row r="11" spans="1:9">
      <c r="A11" s="42" t="s">
        <v>58</v>
      </c>
      <c r="B11" s="1" t="str">
        <f>IF(
       VLOOKUP(A11,
                            Data!$A$2:$F$97,
                            6,
                            FALSE)
        = "",
         "-",
         VLOOKUP(A11,
                              Data!$A$2:$F$97,
                              6,
                              FALSE)
         )</f>
        <v>-</v>
      </c>
      <c r="C11" s="10" t="s">
        <v>24</v>
      </c>
      <c r="D11" s="10" t="s">
        <v>125</v>
      </c>
      <c r="E11" s="10" t="s">
        <v>126</v>
      </c>
      <c r="F11" s="36" t="s">
        <v>127</v>
      </c>
      <c r="G11" s="1"/>
      <c r="H11" s="1"/>
      <c r="I11" s="1"/>
    </row>
    <row r="12" spans="1:9">
      <c r="A12" s="42" t="s">
        <v>59</v>
      </c>
      <c r="B12" s="1" t="str">
        <f>IF(
       VLOOKUP(A12,
                            Data!$A$2:$F$97,
                            6,
                            FALSE)
        = "",
         "-",
         VLOOKUP(A12,
                              Data!$A$2:$F$97,
                              6,
                              FALSE)
         )</f>
        <v>-</v>
      </c>
      <c r="C12" s="10" t="s">
        <v>24</v>
      </c>
      <c r="D12" s="10" t="s">
        <v>125</v>
      </c>
      <c r="E12" s="10" t="s">
        <v>126</v>
      </c>
      <c r="F12" s="36" t="s">
        <v>127</v>
      </c>
      <c r="G12" s="1"/>
      <c r="H12" s="1"/>
      <c r="I12" s="1"/>
    </row>
    <row r="13" spans="1:9">
      <c r="A13" s="42" t="s">
        <v>60</v>
      </c>
      <c r="B13" s="1" t="str">
        <f>IF(
       VLOOKUP(A13,
                            Data!$A$2:$F$97,
                            6,
                            FALSE)
        = "",
         "-",
         VLOOKUP(A13,
                              Data!$A$2:$F$97,
                              6,
                              FALSE)
         )</f>
        <v>-</v>
      </c>
      <c r="C13" s="10" t="s">
        <v>24</v>
      </c>
      <c r="D13" s="10" t="s">
        <v>125</v>
      </c>
      <c r="E13" s="10" t="s">
        <v>126</v>
      </c>
      <c r="F13" s="36" t="s">
        <v>127</v>
      </c>
      <c r="G13" s="1"/>
      <c r="H13" s="1"/>
      <c r="I13" s="1"/>
    </row>
    <row r="14" spans="1:9">
      <c r="A14" s="42" t="s">
        <v>61</v>
      </c>
      <c r="B14" s="1" t="str">
        <f>IF(
       VLOOKUP(A14,
                            Data!$A$2:$F$97,
                            6,
                            FALSE)
        = "",
         "-",
         VLOOKUP(A14,
                              Data!$A$2:$F$97,
                              6,
                              FALSE)
         )</f>
        <v>-</v>
      </c>
      <c r="C14" s="10" t="s">
        <v>24</v>
      </c>
      <c r="D14" s="10" t="s">
        <v>125</v>
      </c>
      <c r="E14" s="10" t="s">
        <v>126</v>
      </c>
      <c r="F14" s="36" t="s">
        <v>127</v>
      </c>
      <c r="G14" s="1"/>
      <c r="H14" s="1"/>
      <c r="I14" s="1"/>
    </row>
    <row r="15" spans="1:9">
      <c r="A15" s="42" t="s">
        <v>62</v>
      </c>
      <c r="B15" s="1" t="str">
        <f>IF(
       VLOOKUP(A15,
                            Data!$A$2:$F$97,
                            6,
                            FALSE)
        = "",
         "-",
         VLOOKUP(A15,
                              Data!$A$2:$F$97,
                              6,
                              FALSE)
         )</f>
        <v>-</v>
      </c>
      <c r="C15" s="10" t="s">
        <v>24</v>
      </c>
      <c r="D15" s="10" t="s">
        <v>125</v>
      </c>
      <c r="E15" s="10" t="s">
        <v>126</v>
      </c>
      <c r="F15" s="36" t="s">
        <v>127</v>
      </c>
      <c r="G15" s="1"/>
      <c r="H15" s="1"/>
      <c r="I15" s="1"/>
    </row>
    <row r="16" spans="1:9">
      <c r="A16" s="42" t="s">
        <v>63</v>
      </c>
      <c r="B16" s="1" t="str">
        <f>IF(
       VLOOKUP(A16,
                            Data!$A$2:$F$97,
                            6,
                            FALSE)
        = "",
         "-",
         VLOOKUP(A16,
                              Data!$A$2:$F$97,
                              6,
                              FALSE)
         )</f>
        <v>-</v>
      </c>
      <c r="C16" s="10" t="s">
        <v>24</v>
      </c>
      <c r="D16" s="10" t="s">
        <v>125</v>
      </c>
      <c r="E16" s="10" t="s">
        <v>126</v>
      </c>
      <c r="F16" s="36" t="s">
        <v>127</v>
      </c>
      <c r="G16" s="1"/>
      <c r="H16" s="1"/>
      <c r="I16" s="1"/>
    </row>
    <row r="17" spans="1:9">
      <c r="A17" s="42" t="s">
        <v>64</v>
      </c>
      <c r="B17" s="1" t="str">
        <f>IF(
       VLOOKUP(A17,
                            Data!$A$2:$F$97,
                            6,
                            FALSE)
        = "",
         "-",
         VLOOKUP(A17,
                              Data!$A$2:$F$97,
                              6,
                              FALSE)
         )</f>
        <v>-</v>
      </c>
      <c r="C17" s="10" t="s">
        <v>24</v>
      </c>
      <c r="D17" s="10" t="s">
        <v>125</v>
      </c>
      <c r="E17" s="10" t="s">
        <v>126</v>
      </c>
      <c r="F17" s="36" t="s">
        <v>127</v>
      </c>
      <c r="G17" s="1"/>
      <c r="H17" s="1"/>
      <c r="I17" s="1"/>
    </row>
    <row r="18" spans="1:9">
      <c r="A18" s="42" t="s">
        <v>65</v>
      </c>
      <c r="B18" s="1" t="str">
        <f>IF(
       VLOOKUP(A18,
                            Data!$A$2:$F$97,
                            6,
                            FALSE)
        = "",
         "-",
         VLOOKUP(A18,
                              Data!$A$2:$F$97,
                              6,
                              FALSE)
         )</f>
        <v>-</v>
      </c>
      <c r="C18" s="10" t="s">
        <v>24</v>
      </c>
      <c r="D18" s="10" t="s">
        <v>125</v>
      </c>
      <c r="E18" s="10" t="s">
        <v>126</v>
      </c>
      <c r="F18" s="36" t="s">
        <v>127</v>
      </c>
      <c r="G18" s="1"/>
      <c r="H18" s="1"/>
      <c r="I18" s="1"/>
    </row>
    <row r="19" spans="1:9">
      <c r="A19" s="42" t="s">
        <v>66</v>
      </c>
      <c r="B19" s="1" t="str">
        <f>IF(
       VLOOKUP(A19,
                            Data!$A$2:$F$97,
                            6,
                            FALSE)
        = "",
         "-",
         VLOOKUP(A19,
                              Data!$A$2:$F$97,
                              6,
                              FALSE)
         )</f>
        <v>-</v>
      </c>
      <c r="C19" s="10" t="s">
        <v>24</v>
      </c>
      <c r="D19" s="10" t="s">
        <v>125</v>
      </c>
      <c r="E19" s="10" t="s">
        <v>126</v>
      </c>
      <c r="F19" s="36" t="s">
        <v>127</v>
      </c>
      <c r="G19" s="1"/>
      <c r="H19" s="1"/>
      <c r="I19" s="1"/>
    </row>
    <row r="20" spans="1:9">
      <c r="A20" s="42" t="s">
        <v>67</v>
      </c>
      <c r="B20" s="1" t="str">
        <f>IF(
       VLOOKUP(A20,
                            Data!$A$2:$F$97,
                            6,
                            FALSE)
        = "",
         "-",
         VLOOKUP(A20,
                              Data!$A$2:$F$97,
                              6,
                              FALSE)
         )</f>
        <v>-</v>
      </c>
      <c r="C20" s="10" t="s">
        <v>24</v>
      </c>
      <c r="D20" s="10" t="s">
        <v>125</v>
      </c>
      <c r="E20" s="10" t="s">
        <v>126</v>
      </c>
      <c r="F20" s="36" t="s">
        <v>127</v>
      </c>
      <c r="G20" s="1"/>
      <c r="H20" s="1"/>
      <c r="I20" s="1"/>
    </row>
    <row r="21" spans="1:9">
      <c r="A21" s="42" t="s">
        <v>68</v>
      </c>
      <c r="B21" s="1" t="str">
        <f>IF(
       VLOOKUP(A21,
                            Data!$A$2:$F$97,
                            6,
                            FALSE)
        = "",
         "-",
         VLOOKUP(A21,
                              Data!$A$2:$F$97,
                              6,
                              FALSE)
         )</f>
        <v>-</v>
      </c>
      <c r="C21" s="10" t="s">
        <v>24</v>
      </c>
      <c r="D21" s="10" t="s">
        <v>125</v>
      </c>
      <c r="E21" s="10" t="s">
        <v>126</v>
      </c>
      <c r="F21" s="36" t="s">
        <v>127</v>
      </c>
      <c r="G21" s="1"/>
      <c r="H21" s="1"/>
      <c r="I21" s="1"/>
    </row>
    <row r="22" spans="1:9">
      <c r="A22" s="42" t="s">
        <v>69</v>
      </c>
      <c r="B22" s="1" t="str">
        <f>IF(
       VLOOKUP(A22,
                            Data!$A$2:$F$97,
                            6,
                            FALSE)
        = "",
         "-",
         VLOOKUP(A22,
                              Data!$A$2:$F$97,
                              6,
                              FALSE)
         )</f>
        <v>-</v>
      </c>
      <c r="C22" s="10" t="s">
        <v>24</v>
      </c>
      <c r="D22" s="10" t="s">
        <v>125</v>
      </c>
      <c r="E22" s="10" t="s">
        <v>126</v>
      </c>
      <c r="F22" s="36" t="s">
        <v>127</v>
      </c>
      <c r="G22" s="1"/>
      <c r="H22" s="1"/>
      <c r="I22" s="1"/>
    </row>
    <row r="23" spans="1:9">
      <c r="A23" s="42" t="s">
        <v>70</v>
      </c>
      <c r="B23" s="1" t="str">
        <f>IF(
       VLOOKUP(A23,
                            Data!$A$2:$F$97,
                            6,
                            FALSE)
        = "",
         "-",
         VLOOKUP(A23,
                              Data!$A$2:$F$97,
                              6,
                              FALSE)
         )</f>
        <v>-</v>
      </c>
      <c r="C23" s="10" t="s">
        <v>24</v>
      </c>
      <c r="D23" s="10" t="s">
        <v>125</v>
      </c>
      <c r="E23" s="10" t="s">
        <v>126</v>
      </c>
      <c r="F23" s="36" t="s">
        <v>127</v>
      </c>
      <c r="G23" s="1"/>
      <c r="H23" s="1"/>
      <c r="I23" s="1"/>
    </row>
    <row r="24" spans="1:9">
      <c r="A24" s="42" t="s">
        <v>71</v>
      </c>
      <c r="B24" s="1" t="str">
        <f>IF(
       VLOOKUP(A24,
                            Data!$A$2:$F$97,
                            6,
                            FALSE)
        = "",
         "-",
         VLOOKUP(A24,
                              Data!$A$2:$F$97,
                              6,
                              FALSE)
         )</f>
        <v>-</v>
      </c>
      <c r="C24" s="10" t="s">
        <v>24</v>
      </c>
      <c r="D24" s="10" t="s">
        <v>125</v>
      </c>
      <c r="E24" s="10" t="s">
        <v>126</v>
      </c>
      <c r="F24" s="36" t="s">
        <v>127</v>
      </c>
      <c r="G24" s="1"/>
      <c r="H24" s="1"/>
      <c r="I24" s="1"/>
    </row>
    <row r="25" spans="1:9">
      <c r="A25" s="42" t="s">
        <v>72</v>
      </c>
      <c r="B25" s="1" t="str">
        <f>IF(
       VLOOKUP(A25,
                            Data!$A$2:$F$97,
                            6,
                            FALSE)
        = "",
         "-",
         VLOOKUP(A25,
                              Data!$A$2:$F$97,
                              6,
                              FALSE)
         )</f>
        <v>-</v>
      </c>
      <c r="C25" s="10" t="s">
        <v>24</v>
      </c>
      <c r="D25" s="10" t="s">
        <v>125</v>
      </c>
      <c r="E25" s="10" t="s">
        <v>126</v>
      </c>
      <c r="F25" s="36" t="s">
        <v>127</v>
      </c>
      <c r="G25" s="1"/>
      <c r="H25" s="1"/>
      <c r="I25" s="1"/>
    </row>
    <row r="26" spans="1:9">
      <c r="A26" s="42" t="s">
        <v>73</v>
      </c>
      <c r="B26" s="1" t="str">
        <f>IF(
       VLOOKUP(A26,
                            Data!$A$2:$F$97,
                            6,
                            FALSE)
        = "",
         "-",
         VLOOKUP(A26,
                              Data!$A$2:$F$97,
                              6,
                              FALSE)
         )</f>
        <v>-</v>
      </c>
      <c r="C26" s="10" t="s">
        <v>24</v>
      </c>
      <c r="D26" s="10" t="s">
        <v>125</v>
      </c>
      <c r="E26" s="10" t="s">
        <v>126</v>
      </c>
      <c r="F26" s="36" t="s">
        <v>127</v>
      </c>
      <c r="G26" s="1"/>
      <c r="H26" s="1"/>
      <c r="I26" s="1"/>
    </row>
    <row r="27" spans="1:9">
      <c r="A27" s="42" t="s">
        <v>74</v>
      </c>
      <c r="B27" s="1" t="str">
        <f>IF(
       VLOOKUP(A27,
                            Data!$A$2:$F$97,
                            6,
                            FALSE)
        = "",
         "-",
         VLOOKUP(A27,
                              Data!$A$2:$F$97,
                              6,
                              FALSE)
         )</f>
        <v>-</v>
      </c>
      <c r="C27" s="10" t="s">
        <v>24</v>
      </c>
      <c r="D27" s="10" t="s">
        <v>125</v>
      </c>
      <c r="E27" s="10" t="s">
        <v>126</v>
      </c>
      <c r="F27" s="36" t="s">
        <v>127</v>
      </c>
      <c r="G27" s="1"/>
      <c r="H27" s="1"/>
      <c r="I27" s="1"/>
    </row>
    <row r="28" spans="1:9">
      <c r="A28" s="42" t="s">
        <v>75</v>
      </c>
      <c r="B28" s="1" t="str">
        <f>IF(
       VLOOKUP(A28,
                            Data!$A$2:$F$97,
                            6,
                            FALSE)
        = "",
         "-",
         VLOOKUP(A28,
                              Data!$A$2:$F$97,
                              6,
                              FALSE)
         )</f>
        <v>-</v>
      </c>
      <c r="C28" s="10" t="s">
        <v>24</v>
      </c>
      <c r="D28" s="10" t="s">
        <v>125</v>
      </c>
      <c r="E28" s="10" t="s">
        <v>126</v>
      </c>
      <c r="F28" s="36" t="s">
        <v>127</v>
      </c>
      <c r="G28" s="1"/>
      <c r="H28" s="1"/>
      <c r="I28" s="1"/>
    </row>
    <row r="29" spans="1:9">
      <c r="A29" s="42" t="s">
        <v>76</v>
      </c>
      <c r="B29" s="1" t="str">
        <f>IF(
       VLOOKUP(A29,
                            Data!$A$2:$F$97,
                            6,
                            FALSE)
        = "",
         "-",
         VLOOKUP(A29,
                              Data!$A$2:$F$97,
                              6,
                              FALSE)
         )</f>
        <v>-</v>
      </c>
      <c r="C29" s="10" t="s">
        <v>24</v>
      </c>
      <c r="D29" s="10" t="s">
        <v>125</v>
      </c>
      <c r="E29" s="10" t="s">
        <v>126</v>
      </c>
      <c r="F29" s="36" t="s">
        <v>127</v>
      </c>
      <c r="G29" s="1"/>
      <c r="H29" s="1"/>
      <c r="I29" s="1"/>
    </row>
    <row r="30" spans="1:9">
      <c r="A30" s="42" t="s">
        <v>77</v>
      </c>
      <c r="B30" s="1" t="str">
        <f>IF(
       VLOOKUP(A30,
                            Data!$A$2:$F$97,
                            6,
                            FALSE)
        = "",
         "-",
         VLOOKUP(A30,
                              Data!$A$2:$F$97,
                              6,
                              FALSE)
         )</f>
        <v>-</v>
      </c>
      <c r="C30" s="10" t="s">
        <v>24</v>
      </c>
      <c r="D30" s="10" t="s">
        <v>125</v>
      </c>
      <c r="E30" s="10" t="s">
        <v>126</v>
      </c>
      <c r="F30" s="36" t="s">
        <v>127</v>
      </c>
      <c r="G30" s="1"/>
      <c r="H30" s="1"/>
      <c r="I30" s="1"/>
    </row>
    <row r="31" spans="1:9">
      <c r="A31" s="42" t="s">
        <v>78</v>
      </c>
      <c r="B31" s="1" t="str">
        <f>IF(
       VLOOKUP(A31,
                            Data!$A$2:$F$97,
                            6,
                            FALSE)
        = "",
         "-",
         VLOOKUP(A31,
                              Data!$A$2:$F$97,
                              6,
                              FALSE)
         )</f>
        <v>-</v>
      </c>
      <c r="C31" s="10" t="s">
        <v>24</v>
      </c>
      <c r="D31" s="10" t="s">
        <v>125</v>
      </c>
      <c r="E31" s="10" t="s">
        <v>126</v>
      </c>
      <c r="F31" s="36" t="s">
        <v>127</v>
      </c>
      <c r="G31" s="1"/>
      <c r="H31" s="1"/>
      <c r="I31" s="1"/>
    </row>
    <row r="32" spans="1:9">
      <c r="A32" s="42" t="s">
        <v>79</v>
      </c>
      <c r="B32" s="1" t="str">
        <f>IF(
       VLOOKUP(A32,
                            Data!$A$2:$F$97,
                            6,
                            FALSE)
        = "",
         "-",
         VLOOKUP(A32,
                              Data!$A$2:$F$97,
                              6,
                              FALSE)
         )</f>
        <v>-</v>
      </c>
      <c r="C32" s="10" t="s">
        <v>24</v>
      </c>
      <c r="D32" s="10" t="s">
        <v>125</v>
      </c>
      <c r="E32" s="10" t="s">
        <v>126</v>
      </c>
      <c r="F32" s="36" t="s">
        <v>127</v>
      </c>
      <c r="G32" s="1"/>
      <c r="H32" s="1"/>
      <c r="I32" s="1"/>
    </row>
    <row r="33" spans="1:9">
      <c r="A33" s="42" t="s">
        <v>80</v>
      </c>
      <c r="B33" s="1" t="str">
        <f>IF(
       VLOOKUP(A33,
                            Data!$A$2:$F$97,
                            6,
                            FALSE)
        = "",
         "-",
         VLOOKUP(A33,
                              Data!$A$2:$F$97,
                              6,
                              FALSE)
         )</f>
        <v>-</v>
      </c>
      <c r="C33" s="10" t="s">
        <v>24</v>
      </c>
      <c r="D33" s="10" t="s">
        <v>125</v>
      </c>
      <c r="E33" s="10" t="s">
        <v>126</v>
      </c>
      <c r="F33" s="36" t="s">
        <v>127</v>
      </c>
      <c r="G33" s="1"/>
      <c r="H33" s="1"/>
      <c r="I33" s="1"/>
    </row>
    <row r="34" spans="1:9">
      <c r="A34" s="42" t="s">
        <v>81</v>
      </c>
      <c r="B34" s="1" t="str">
        <f>IF(
       VLOOKUP(A34,
                            Data!$A$2:$F$97,
                            6,
                            FALSE)
        = "",
         "-",
         VLOOKUP(A34,
                              Data!$A$2:$F$97,
                              6,
                              FALSE)
         )</f>
        <v>-</v>
      </c>
      <c r="C34" s="10" t="s">
        <v>24</v>
      </c>
      <c r="D34" s="10" t="s">
        <v>125</v>
      </c>
      <c r="E34" s="10" t="s">
        <v>126</v>
      </c>
      <c r="F34" s="36" t="s">
        <v>127</v>
      </c>
      <c r="G34" s="1"/>
      <c r="H34" s="1"/>
      <c r="I34" s="1"/>
    </row>
    <row r="35" spans="1:9">
      <c r="A35" s="42" t="s">
        <v>82</v>
      </c>
      <c r="B35" s="1" t="str">
        <f>IF(
       VLOOKUP(A35,
                            Data!$A$2:$F$97,
                            6,
                            FALSE)
        = "",
         "-",
         VLOOKUP(A35,
                              Data!$A$2:$F$97,
                              6,
                              FALSE)
         )</f>
        <v>-</v>
      </c>
      <c r="C35" s="10" t="s">
        <v>24</v>
      </c>
      <c r="D35" s="10" t="s">
        <v>125</v>
      </c>
      <c r="E35" s="10" t="s">
        <v>126</v>
      </c>
      <c r="F35" s="36" t="s">
        <v>127</v>
      </c>
      <c r="G35" s="1"/>
      <c r="H35" s="1"/>
      <c r="I35" s="1"/>
    </row>
    <row r="36" spans="1:9">
      <c r="A36" s="42" t="s">
        <v>83</v>
      </c>
      <c r="B36" s="1" t="str">
        <f>IF(
       VLOOKUP(A36,
                            Data!$A$2:$F$97,
                            6,
                            FALSE)
        = "",
         "-",
         VLOOKUP(A36,
                              Data!$A$2:$F$97,
                              6,
                              FALSE)
         )</f>
        <v>-</v>
      </c>
      <c r="C36" s="10" t="s">
        <v>24</v>
      </c>
      <c r="D36" s="10" t="s">
        <v>125</v>
      </c>
      <c r="E36" s="10" t="s">
        <v>126</v>
      </c>
      <c r="F36" s="36" t="s">
        <v>127</v>
      </c>
      <c r="G36" s="1"/>
      <c r="H36" s="1"/>
      <c r="I36" s="1"/>
    </row>
    <row r="37" spans="1:9">
      <c r="A37" s="42" t="s">
        <v>84</v>
      </c>
      <c r="B37" s="1" t="str">
        <f>IF(
       VLOOKUP(A37,
                            Data!$A$2:$F$97,
                            6,
                            FALSE)
        = "",
         "-",
         VLOOKUP(A37,
                              Data!$A$2:$F$97,
                              6,
                              FALSE)
         )</f>
        <v>-</v>
      </c>
      <c r="C37" s="10" t="s">
        <v>24</v>
      </c>
      <c r="D37" s="10" t="s">
        <v>125</v>
      </c>
      <c r="E37" s="10" t="s">
        <v>126</v>
      </c>
      <c r="F37" s="36" t="s">
        <v>127</v>
      </c>
      <c r="G37" s="1"/>
      <c r="H37" s="1"/>
      <c r="I37" s="1"/>
    </row>
    <row r="38" spans="1:9">
      <c r="A38" s="42" t="s">
        <v>85</v>
      </c>
      <c r="B38" s="1" t="str">
        <f>IF(
       VLOOKUP(A38,
                            Data!$A$2:$F$97,
                            6,
                            FALSE)
        = "",
         "-",
         VLOOKUP(A38,
                              Data!$A$2:$F$97,
                              6,
                              FALSE)
         )</f>
        <v>-</v>
      </c>
      <c r="C38" s="10" t="s">
        <v>24</v>
      </c>
      <c r="D38" s="10" t="s">
        <v>125</v>
      </c>
      <c r="E38" s="10" t="s">
        <v>126</v>
      </c>
      <c r="F38" s="36" t="s">
        <v>127</v>
      </c>
      <c r="G38" s="1"/>
      <c r="H38" s="1"/>
      <c r="I38" s="1"/>
    </row>
    <row r="39" spans="1:9">
      <c r="A39" s="42" t="s">
        <v>86</v>
      </c>
      <c r="B39" s="1" t="str">
        <f>IF(
       VLOOKUP(A39,
                            Data!$A$2:$F$97,
                            6,
                            FALSE)
        = "",
         "-",
         VLOOKUP(A39,
                              Data!$A$2:$F$97,
                              6,
                              FALSE)
         )</f>
        <v>-</v>
      </c>
      <c r="C39" s="10" t="s">
        <v>24</v>
      </c>
      <c r="D39" s="10" t="s">
        <v>125</v>
      </c>
      <c r="E39" s="10" t="s">
        <v>126</v>
      </c>
      <c r="F39" s="36" t="s">
        <v>127</v>
      </c>
      <c r="G39" s="1"/>
      <c r="H39" s="1"/>
      <c r="I39" s="1"/>
    </row>
    <row r="40" spans="1:9">
      <c r="A40" s="42" t="s">
        <v>87</v>
      </c>
      <c r="B40" s="1" t="str">
        <f>IF(
       VLOOKUP(A40,
                            Data!$A$2:$F$97,
                            6,
                            FALSE)
        = "",
         "-",
         VLOOKUP(A40,
                              Data!$A$2:$F$97,
                              6,
                              FALSE)
         )</f>
        <v>-</v>
      </c>
      <c r="C40" s="10" t="s">
        <v>24</v>
      </c>
      <c r="D40" s="10" t="s">
        <v>125</v>
      </c>
      <c r="E40" s="10" t="s">
        <v>126</v>
      </c>
      <c r="F40" s="36" t="s">
        <v>127</v>
      </c>
      <c r="G40" s="1"/>
      <c r="H40" s="1"/>
      <c r="I40" s="1"/>
    </row>
    <row r="41" spans="1:9">
      <c r="A41" s="42" t="s">
        <v>88</v>
      </c>
      <c r="B41" s="1" t="str">
        <f>IF(
       VLOOKUP(A41,
                            Data!$A$2:$F$97,
                            6,
                            FALSE)
        = "",
         "-",
         VLOOKUP(A41,
                              Data!$A$2:$F$97,
                              6,
                              FALSE)
         )</f>
        <v>-</v>
      </c>
      <c r="C41" s="10" t="s">
        <v>24</v>
      </c>
      <c r="D41" s="10" t="s">
        <v>125</v>
      </c>
      <c r="E41" s="10" t="s">
        <v>126</v>
      </c>
      <c r="F41" s="36" t="s">
        <v>127</v>
      </c>
      <c r="G41" s="1"/>
      <c r="H41" s="1"/>
      <c r="I41" s="1"/>
    </row>
    <row r="42" spans="1:9">
      <c r="A42" s="42" t="s">
        <v>89</v>
      </c>
      <c r="B42" s="1" t="str">
        <f>IF(
       VLOOKUP(A42,
                            Data!$A$2:$F$97,
                            6,
                            FALSE)
        = "",
         "-",
         VLOOKUP(A42,
                              Data!$A$2:$F$97,
                              6,
                              FALSE)
         )</f>
        <v>-</v>
      </c>
      <c r="C42" s="10" t="s">
        <v>24</v>
      </c>
      <c r="D42" s="10" t="s">
        <v>125</v>
      </c>
      <c r="E42" s="10" t="s">
        <v>126</v>
      </c>
      <c r="F42" s="36" t="s">
        <v>127</v>
      </c>
      <c r="G42" s="1"/>
      <c r="H42" s="1"/>
      <c r="I42" s="1"/>
    </row>
    <row r="43" spans="1:9">
      <c r="A43" s="42" t="s">
        <v>90</v>
      </c>
      <c r="B43" s="1" t="str">
        <f>IF(
       VLOOKUP(A43,
                            Data!$A$2:$F$97,
                            6,
                            FALSE)
        = "",
         "-",
         VLOOKUP(A43,
                              Data!$A$2:$F$97,
                              6,
                              FALSE)
         )</f>
        <v>-</v>
      </c>
      <c r="C43" s="10" t="s">
        <v>24</v>
      </c>
      <c r="D43" s="10" t="s">
        <v>125</v>
      </c>
      <c r="E43" s="10" t="s">
        <v>126</v>
      </c>
      <c r="F43" s="36" t="s">
        <v>127</v>
      </c>
      <c r="G43" s="1"/>
      <c r="H43" s="1"/>
      <c r="I43" s="1"/>
    </row>
    <row r="44" spans="1:9">
      <c r="A44" s="42" t="s">
        <v>91</v>
      </c>
      <c r="B44" s="1" t="str">
        <f>IF(
       VLOOKUP(A44,
                            Data!$A$2:$F$97,
                            6,
                            FALSE)
        = "",
         "-",
         VLOOKUP(A44,
                              Data!$A$2:$F$97,
                              6,
                              FALSE)
         )</f>
        <v>-</v>
      </c>
      <c r="C44" s="10" t="s">
        <v>24</v>
      </c>
      <c r="D44" s="10" t="s">
        <v>125</v>
      </c>
      <c r="E44" s="10" t="s">
        <v>126</v>
      </c>
      <c r="F44" s="36" t="s">
        <v>127</v>
      </c>
      <c r="G44" s="1"/>
      <c r="H44" s="1"/>
      <c r="I44" s="1"/>
    </row>
    <row r="45" spans="1:9">
      <c r="A45" s="42" t="s">
        <v>92</v>
      </c>
      <c r="B45" s="1" t="str">
        <f>IF(
       VLOOKUP(A45,
                            Data!$A$2:$F$97,
                            6,
                            FALSE)
        = "",
         "-",
         VLOOKUP(A45,
                              Data!$A$2:$F$97,
                              6,
                              FALSE)
         )</f>
        <v>-</v>
      </c>
      <c r="C45" s="10" t="s">
        <v>24</v>
      </c>
      <c r="D45" s="10" t="s">
        <v>125</v>
      </c>
      <c r="E45" s="10" t="s">
        <v>126</v>
      </c>
      <c r="F45" s="36" t="s">
        <v>127</v>
      </c>
      <c r="G45" s="1"/>
      <c r="H45" s="1"/>
      <c r="I45" s="1"/>
    </row>
    <row r="46" spans="1:9">
      <c r="A46" s="42" t="s">
        <v>93</v>
      </c>
      <c r="B46" s="1" t="str">
        <f>IF(
       VLOOKUP(A46,
                            Data!$A$2:$F$97,
                            6,
                            FALSE)
        = "",
         "-",
         VLOOKUP(A46,
                              Data!$A$2:$F$97,
                              6,
                              FALSE)
         )</f>
        <v>-</v>
      </c>
      <c r="C46" s="10" t="s">
        <v>24</v>
      </c>
      <c r="D46" s="10" t="s">
        <v>125</v>
      </c>
      <c r="E46" s="10" t="s">
        <v>126</v>
      </c>
      <c r="F46" s="36" t="s">
        <v>127</v>
      </c>
      <c r="G46" s="1"/>
      <c r="H46" s="1"/>
      <c r="I46" s="1"/>
    </row>
    <row r="47" spans="1:9">
      <c r="A47" s="42" t="s">
        <v>94</v>
      </c>
      <c r="B47" s="1" t="str">
        <f>IF(
       VLOOKUP(A47,
                            Data!$A$2:$F$97,
                            6,
                            FALSE)
        = "",
         "-",
         VLOOKUP(A47,
                              Data!$A$2:$F$97,
                              6,
                              FALSE)
         )</f>
        <v>-</v>
      </c>
      <c r="C47" s="10" t="s">
        <v>24</v>
      </c>
      <c r="D47" s="10" t="s">
        <v>125</v>
      </c>
      <c r="E47" s="10" t="s">
        <v>126</v>
      </c>
      <c r="F47" s="36" t="s">
        <v>127</v>
      </c>
      <c r="G47" s="1"/>
      <c r="H47" s="1"/>
      <c r="I47" s="1"/>
    </row>
    <row r="48" spans="1:9">
      <c r="A48" s="42" t="s">
        <v>95</v>
      </c>
      <c r="B48" s="1" t="str">
        <f>IF(
       VLOOKUP(A48,
                            Data!$A$2:$F$97,
                            6,
                            FALSE)
        = "",
         "-",
         VLOOKUP(A48,
                              Data!$A$2:$F$97,
                              6,
                              FALSE)
         )</f>
        <v>-</v>
      </c>
      <c r="C48" s="10" t="s">
        <v>24</v>
      </c>
      <c r="D48" s="10" t="s">
        <v>125</v>
      </c>
      <c r="E48" s="10" t="s">
        <v>126</v>
      </c>
      <c r="F48" s="36" t="s">
        <v>127</v>
      </c>
      <c r="G48" s="1"/>
      <c r="H48" s="1"/>
      <c r="I48" s="1"/>
    </row>
    <row r="49" spans="1:9">
      <c r="A49" s="42" t="s">
        <v>96</v>
      </c>
      <c r="B49" s="1" t="str">
        <f>IF(
       VLOOKUP(A49,
                            Data!$A$2:$F$97,
                            6,
                            FALSE)
        = "",
         "-",
         VLOOKUP(A49,
                              Data!$A$2:$F$97,
                              6,
                              FALSE)
         )</f>
        <v>-</v>
      </c>
      <c r="C49" s="10" t="s">
        <v>24</v>
      </c>
      <c r="D49" s="10" t="s">
        <v>125</v>
      </c>
      <c r="E49" s="10" t="s">
        <v>126</v>
      </c>
      <c r="F49" s="36" t="s">
        <v>127</v>
      </c>
      <c r="G49" s="1"/>
      <c r="H49" s="1"/>
      <c r="I49" s="1"/>
    </row>
    <row r="50" spans="1:9">
      <c r="A50" s="42" t="s">
        <v>97</v>
      </c>
      <c r="B50" s="1" t="str">
        <f>IF(
       VLOOKUP(A50,
                            Data!$A$2:$F$97,
                            6,
                            FALSE)
        = "",
         "-",
         VLOOKUP(A50,
                              Data!$A$2:$F$97,
                              6,
                              FALSE)
         )</f>
        <v>-</v>
      </c>
      <c r="C50" s="10" t="s">
        <v>24</v>
      </c>
      <c r="D50" s="10" t="s">
        <v>125</v>
      </c>
      <c r="E50" s="10" t="s">
        <v>126</v>
      </c>
      <c r="F50" s="36" t="s">
        <v>127</v>
      </c>
      <c r="G50" s="1"/>
      <c r="H50" s="1"/>
      <c r="I50" s="1"/>
    </row>
    <row r="51" spans="1:9">
      <c r="A51" s="42" t="s">
        <v>98</v>
      </c>
      <c r="B51" s="1" t="str">
        <f>IF(
       VLOOKUP(A51,
                            Data!$A$2:$F$97,
                            6,
                            FALSE)
        = "",
         "-",
         VLOOKUP(A51,
                              Data!$A$2:$F$97,
                              6,
                              FALSE)
         )</f>
        <v>-</v>
      </c>
      <c r="C51" s="10" t="s">
        <v>24</v>
      </c>
      <c r="D51" s="10" t="s">
        <v>125</v>
      </c>
      <c r="E51" s="10" t="s">
        <v>126</v>
      </c>
      <c r="F51" s="36" t="s">
        <v>127</v>
      </c>
      <c r="G51" s="1"/>
      <c r="H51" s="1"/>
      <c r="I51" s="1"/>
    </row>
    <row r="52" spans="1:9">
      <c r="A52" s="42" t="s">
        <v>99</v>
      </c>
      <c r="B52" s="1" t="str">
        <f>IF(
       VLOOKUP(A52,
                            Data!$A$2:$F$97,
                            6,
                            FALSE)
        = "",
         "-",
         VLOOKUP(A52,
                              Data!$A$2:$F$97,
                              6,
                              FALSE)
         )</f>
        <v>-</v>
      </c>
      <c r="C52" s="10" t="s">
        <v>24</v>
      </c>
      <c r="D52" s="10" t="s">
        <v>125</v>
      </c>
      <c r="E52" s="10" t="s">
        <v>126</v>
      </c>
      <c r="F52" s="36" t="s">
        <v>127</v>
      </c>
      <c r="G52" s="1"/>
      <c r="H52" s="1"/>
      <c r="I52" s="1"/>
    </row>
    <row r="53" spans="1:9">
      <c r="A53" s="42" t="s">
        <v>100</v>
      </c>
      <c r="B53" s="1" t="str">
        <f>IF(
       VLOOKUP(A53,
                            Data!$A$2:$F$97,
                            6,
                            FALSE)
        = "",
         "-",
         VLOOKUP(A53,
                              Data!$A$2:$F$97,
                              6,
                              FALSE)
         )</f>
        <v>-</v>
      </c>
      <c r="C53" s="10" t="s">
        <v>24</v>
      </c>
      <c r="D53" s="10" t="s">
        <v>125</v>
      </c>
      <c r="E53" s="10" t="s">
        <v>126</v>
      </c>
      <c r="F53" s="36" t="s">
        <v>127</v>
      </c>
      <c r="G53" s="1"/>
      <c r="H53" s="1"/>
      <c r="I53" s="1"/>
    </row>
    <row r="54" spans="1:9">
      <c r="A54" s="42" t="s">
        <v>101</v>
      </c>
      <c r="B54" s="1" t="str">
        <f>IF(
       VLOOKUP(A54,
                            Data!$A$2:$F$97,
                            6,
                            FALSE)
        = "",
         "-",
         VLOOKUP(A54,
                              Data!$A$2:$F$97,
                              6,
                              FALSE)
         )</f>
        <v>-</v>
      </c>
      <c r="C54" s="10" t="s">
        <v>24</v>
      </c>
      <c r="D54" s="10" t="s">
        <v>125</v>
      </c>
      <c r="E54" s="10" t="s">
        <v>126</v>
      </c>
      <c r="F54" s="36" t="s">
        <v>127</v>
      </c>
      <c r="G54" s="1"/>
      <c r="H54" s="1"/>
      <c r="I54" s="1"/>
    </row>
    <row r="55" spans="1:9">
      <c r="A55" s="42" t="s">
        <v>102</v>
      </c>
      <c r="B55" s="1" t="str">
        <f>IF(
       VLOOKUP(A55,
                            Data!$A$2:$F$97,
                            6,
                            FALSE)
        = "",
         "-",
         VLOOKUP(A55,
                              Data!$A$2:$F$97,
                              6,
                              FALSE)
         )</f>
        <v>-</v>
      </c>
      <c r="C55" s="10" t="s">
        <v>24</v>
      </c>
      <c r="D55" s="10" t="s">
        <v>125</v>
      </c>
      <c r="E55" s="10" t="s">
        <v>126</v>
      </c>
      <c r="F55" s="36" t="s">
        <v>127</v>
      </c>
      <c r="G55" s="1"/>
      <c r="H55" s="1"/>
      <c r="I55" s="1"/>
    </row>
    <row r="56" spans="1:9">
      <c r="A56" s="42" t="s">
        <v>103</v>
      </c>
      <c r="B56" s="1" t="str">
        <f>IF(
       VLOOKUP(A56,
                            Data!$A$2:$F$97,
                            6,
                            FALSE)
        = "",
         "-",
         VLOOKUP(A56,
                              Data!$A$2:$F$97,
                              6,
                              FALSE)
         )</f>
        <v>-</v>
      </c>
      <c r="C56" s="10" t="s">
        <v>24</v>
      </c>
      <c r="D56" s="10" t="s">
        <v>125</v>
      </c>
      <c r="E56" s="10" t="s">
        <v>126</v>
      </c>
      <c r="F56" s="36" t="s">
        <v>127</v>
      </c>
      <c r="G56" s="1"/>
      <c r="H56" s="1"/>
      <c r="I56" s="1"/>
    </row>
    <row r="57" spans="1:9">
      <c r="A57" s="42" t="s">
        <v>104</v>
      </c>
      <c r="B57" s="1" t="str">
        <f>IF(
       VLOOKUP(A57,
                            Data!$A$2:$F$97,
                            6,
                            FALSE)
        = "",
         "-",
         VLOOKUP(A57,
                              Data!$A$2:$F$97,
                              6,
                              FALSE)
         )</f>
        <v>-</v>
      </c>
      <c r="C57" s="10" t="s">
        <v>24</v>
      </c>
      <c r="D57" s="10" t="s">
        <v>125</v>
      </c>
      <c r="E57" s="10" t="s">
        <v>126</v>
      </c>
      <c r="F57" s="36" t="s">
        <v>127</v>
      </c>
      <c r="G57" s="1"/>
      <c r="H57" s="1"/>
      <c r="I57" s="1"/>
    </row>
    <row r="58" spans="1:9">
      <c r="A58" s="42" t="s">
        <v>105</v>
      </c>
      <c r="B58" s="1" t="str">
        <f>IF(
       VLOOKUP(A58,
                            Data!$A$2:$F$97,
                            6,
                            FALSE)
        = "",
         "-",
         VLOOKUP(A58,
                              Data!$A$2:$F$97,
                              6,
                              FALSE)
         )</f>
        <v>-</v>
      </c>
      <c r="C58" s="10" t="s">
        <v>24</v>
      </c>
      <c r="D58" s="10" t="s">
        <v>125</v>
      </c>
      <c r="E58" s="10" t="s">
        <v>126</v>
      </c>
      <c r="F58" s="36" t="s">
        <v>127</v>
      </c>
      <c r="G58" s="1"/>
      <c r="H58" s="1"/>
      <c r="I58" s="1"/>
    </row>
    <row r="59" spans="1:9">
      <c r="A59" s="42" t="s">
        <v>106</v>
      </c>
      <c r="B59" s="1" t="str">
        <f>IF(
       VLOOKUP(A59,
                            Data!$A$2:$F$97,
                            6,
                            FALSE)
        = "",
         "-",
         VLOOKUP(A59,
                              Data!$A$2:$F$97,
                              6,
                              FALSE)
         )</f>
        <v>-</v>
      </c>
      <c r="C59" s="10" t="s">
        <v>24</v>
      </c>
      <c r="D59" s="10" t="s">
        <v>125</v>
      </c>
      <c r="E59" s="10" t="s">
        <v>126</v>
      </c>
      <c r="F59" s="36" t="s">
        <v>127</v>
      </c>
      <c r="G59" s="1"/>
      <c r="H59" s="1"/>
      <c r="I59" s="1"/>
    </row>
    <row r="60" spans="1:9">
      <c r="A60" s="42" t="s">
        <v>107</v>
      </c>
      <c r="B60" s="1" t="str">
        <f>IF(
       VLOOKUP(A60,
                            Data!$A$2:$F$97,
                            6,
                            FALSE)
        = "",
         "-",
         VLOOKUP(A60,
                              Data!$A$2:$F$97,
                              6,
                              FALSE)
         )</f>
        <v>-</v>
      </c>
      <c r="C60" s="10" t="s">
        <v>24</v>
      </c>
      <c r="D60" s="10" t="s">
        <v>125</v>
      </c>
      <c r="E60" s="10" t="s">
        <v>126</v>
      </c>
      <c r="F60" s="36" t="s">
        <v>127</v>
      </c>
      <c r="G60" s="1"/>
      <c r="H60" s="1"/>
      <c r="I60" s="1"/>
    </row>
    <row r="61" spans="1:9">
      <c r="A61" s="42" t="s">
        <v>108</v>
      </c>
      <c r="B61" s="1" t="str">
        <f>IF(
       VLOOKUP(A61,
                            Data!$A$2:$F$97,
                            6,
                            FALSE)
        = "",
         "-",
         VLOOKUP(A61,
                              Data!$A$2:$F$97,
                              6,
                              FALSE)
         )</f>
        <v>-</v>
      </c>
      <c r="C61" s="10" t="s">
        <v>24</v>
      </c>
      <c r="D61" s="10" t="s">
        <v>125</v>
      </c>
      <c r="E61" s="10" t="s">
        <v>126</v>
      </c>
      <c r="F61" s="36" t="s">
        <v>127</v>
      </c>
      <c r="G61" s="1"/>
      <c r="H61" s="1"/>
      <c r="I61" s="1"/>
    </row>
    <row r="62" spans="1:9">
      <c r="A62" s="42" t="s">
        <v>109</v>
      </c>
      <c r="B62" s="1" t="str">
        <f>IF(
       VLOOKUP(A62,
                            Data!$A$2:$F$97,
                            6,
                            FALSE)
        = "",
         "-",
         VLOOKUP(A62,
                              Data!$A$2:$F$97,
                              6,
                              FALSE)
         )</f>
        <v>-</v>
      </c>
      <c r="C62" s="10" t="s">
        <v>24</v>
      </c>
      <c r="D62" s="10" t="s">
        <v>125</v>
      </c>
      <c r="E62" s="10" t="s">
        <v>126</v>
      </c>
      <c r="F62" s="36" t="s">
        <v>127</v>
      </c>
      <c r="G62" s="1"/>
      <c r="H62" s="1"/>
      <c r="I62" s="1"/>
    </row>
    <row r="63" spans="1:9">
      <c r="A63" s="42" t="s">
        <v>110</v>
      </c>
      <c r="B63" s="1" t="str">
        <f>IF(
       VLOOKUP(A63,
                            Data!$A$2:$F$97,
                            6,
                            FALSE)
        = "",
         "-",
         VLOOKUP(A63,
                              Data!$A$2:$F$97,
                              6,
                              FALSE)
         )</f>
        <v>-</v>
      </c>
      <c r="C63" s="10" t="s">
        <v>24</v>
      </c>
      <c r="D63" s="10" t="s">
        <v>125</v>
      </c>
      <c r="E63" s="10" t="s">
        <v>126</v>
      </c>
      <c r="F63" s="36" t="s">
        <v>127</v>
      </c>
      <c r="G63" s="1"/>
      <c r="H63" s="1"/>
      <c r="I63" s="1"/>
    </row>
    <row r="64" spans="1:9">
      <c r="A64" s="42" t="s">
        <v>111</v>
      </c>
      <c r="B64" s="1" t="str">
        <f>IF(
       VLOOKUP(A64,
                            Data!$A$2:$F$97,
                            6,
                            FALSE)
        = "",
         "-",
         VLOOKUP(A64,
                              Data!$A$2:$F$97,
                              6,
                              FALSE)
         )</f>
        <v>-</v>
      </c>
      <c r="C64" s="10" t="s">
        <v>24</v>
      </c>
      <c r="D64" s="10" t="s">
        <v>125</v>
      </c>
      <c r="E64" s="10" t="s">
        <v>126</v>
      </c>
      <c r="F64" s="36" t="s">
        <v>127</v>
      </c>
      <c r="G64" s="1"/>
      <c r="H64" s="1"/>
      <c r="I64" s="1"/>
    </row>
    <row r="65" spans="1:9">
      <c r="A65" s="42" t="s">
        <v>112</v>
      </c>
      <c r="B65" s="1" t="str">
        <f>IF(
       VLOOKUP(A65,
                            Data!$A$2:$F$97,
                            6,
                            FALSE)
        = "",
         "-",
         VLOOKUP(A65,
                              Data!$A$2:$F$97,
                              6,
                              FALSE)
         )</f>
        <v>-</v>
      </c>
      <c r="C65" s="10" t="s">
        <v>24</v>
      </c>
      <c r="D65" s="10" t="s">
        <v>125</v>
      </c>
      <c r="E65" s="10" t="s">
        <v>126</v>
      </c>
      <c r="F65" s="36" t="s">
        <v>127</v>
      </c>
      <c r="G65" s="1"/>
      <c r="H65" s="1"/>
      <c r="I65" s="1"/>
    </row>
    <row r="66" spans="1:9">
      <c r="A66" s="42" t="s">
        <v>113</v>
      </c>
      <c r="B66" s="1" t="str">
        <f>IF(
       VLOOKUP(A66,
                            Data!$A$2:$F$97,
                            6,
                            FALSE)
        = "",
         "-",
         VLOOKUP(A66,
                              Data!$A$2:$F$97,
                              6,
                              FALSE)
         )</f>
        <v>-</v>
      </c>
      <c r="C66" s="10" t="s">
        <v>24</v>
      </c>
      <c r="D66" s="10" t="s">
        <v>125</v>
      </c>
      <c r="E66" s="10" t="s">
        <v>126</v>
      </c>
      <c r="F66" s="36" t="s">
        <v>127</v>
      </c>
      <c r="G66" s="1"/>
      <c r="H66" s="1"/>
      <c r="I66" s="1"/>
    </row>
    <row r="67" spans="1:9">
      <c r="A67" s="42" t="s">
        <v>114</v>
      </c>
      <c r="B67" s="1" t="str">
        <f>IF(
       VLOOKUP(A67,
                            Data!$A$2:$F$97,
                            6,
                            FALSE)
        = "",
         "-",
         VLOOKUP(A67,
                              Data!$A$2:$F$97,
                              6,
                              FALSE)
         )</f>
        <v>-</v>
      </c>
      <c r="C67" s="10" t="s">
        <v>24</v>
      </c>
      <c r="D67" s="10" t="s">
        <v>125</v>
      </c>
      <c r="E67" s="10" t="s">
        <v>126</v>
      </c>
      <c r="F67" s="36" t="s">
        <v>127</v>
      </c>
      <c r="G67" s="1"/>
      <c r="H67" s="1"/>
      <c r="I67" s="1"/>
    </row>
    <row r="68" spans="1:9">
      <c r="A68" s="42" t="s">
        <v>115</v>
      </c>
      <c r="B68" s="1" t="str">
        <f>IF(
       VLOOKUP(A68,
                            Data!$A$2:$F$97,
                            6,
                            FALSE)
        = "",
         "-",
         VLOOKUP(A68,
                              Data!$A$2:$F$97,
                              6,
                              FALSE)
         )</f>
        <v>-</v>
      </c>
      <c r="C68" s="10" t="s">
        <v>24</v>
      </c>
      <c r="D68" s="10" t="s">
        <v>125</v>
      </c>
      <c r="E68" s="10" t="s">
        <v>126</v>
      </c>
      <c r="F68" s="36" t="s">
        <v>127</v>
      </c>
      <c r="G68" s="1"/>
      <c r="H68" s="1"/>
      <c r="I68" s="1"/>
    </row>
    <row r="69" spans="1:9">
      <c r="A69" s="42" t="s">
        <v>116</v>
      </c>
      <c r="B69" s="1" t="str">
        <f>IF(
       VLOOKUP(A69,
                            Data!$A$2:$F$97,
                            6,
                            FALSE)
        = "",
         "-",
         VLOOKUP(A69,
                              Data!$A$2:$F$97,
                              6,
                              FALSE)
         )</f>
        <v>-</v>
      </c>
      <c r="C69" s="10" t="s">
        <v>24</v>
      </c>
      <c r="D69" s="10" t="s">
        <v>125</v>
      </c>
      <c r="E69" s="10" t="s">
        <v>126</v>
      </c>
      <c r="F69" s="36" t="s">
        <v>127</v>
      </c>
      <c r="G69" s="1"/>
      <c r="H69" s="1"/>
      <c r="I69" s="1"/>
    </row>
    <row r="70" spans="1:9">
      <c r="A70" s="42" t="s">
        <v>117</v>
      </c>
      <c r="B70" s="1" t="str">
        <f>IF(
       VLOOKUP(A70,
                            Data!$A$2:$F$97,
                            6,
                            FALSE)
        = "",
         "-",
         VLOOKUP(A70,
                              Data!$A$2:$F$97,
                              6,
                              FALSE)
         )</f>
        <v>-</v>
      </c>
      <c r="C70" s="10" t="s">
        <v>24</v>
      </c>
      <c r="D70" s="10" t="s">
        <v>125</v>
      </c>
      <c r="E70" s="10" t="s">
        <v>126</v>
      </c>
      <c r="F70" s="36" t="s">
        <v>127</v>
      </c>
      <c r="G70" s="1"/>
      <c r="H70" s="1"/>
      <c r="I70" s="1"/>
    </row>
    <row r="71" spans="1:9">
      <c r="A71" s="42" t="s">
        <v>118</v>
      </c>
      <c r="B71" s="1" t="str">
        <f>IF(
       VLOOKUP(A71,
                            Data!$A$2:$F$97,
                            6,
                            FALSE)
        = "",
         "-",
         VLOOKUP(A71,
                              Data!$A$2:$F$97,
                              6,
                              FALSE)
         )</f>
        <v>-</v>
      </c>
      <c r="C71" s="10" t="s">
        <v>24</v>
      </c>
      <c r="D71" s="10" t="s">
        <v>125</v>
      </c>
      <c r="E71" s="10" t="s">
        <v>126</v>
      </c>
      <c r="F71" s="36" t="s">
        <v>127</v>
      </c>
      <c r="G71" s="1"/>
      <c r="H71" s="1"/>
      <c r="I71" s="1"/>
    </row>
    <row r="72" spans="1:9">
      <c r="A72" s="42" t="s">
        <v>119</v>
      </c>
      <c r="B72" s="1" t="str">
        <f>IF(
       VLOOKUP(A72,
                            Data!$A$2:$F$97,
                            6,
                            FALSE)
        = "",
         "-",
         VLOOKUP(A72,
                              Data!$A$2:$F$97,
                              6,
                              FALSE)
         )</f>
        <v>-</v>
      </c>
      <c r="C72" s="10" t="s">
        <v>24</v>
      </c>
      <c r="D72" s="10" t="s">
        <v>125</v>
      </c>
      <c r="E72" s="10" t="s">
        <v>126</v>
      </c>
      <c r="F72" s="36" t="s">
        <v>127</v>
      </c>
      <c r="G72" s="1"/>
      <c r="H72" s="1"/>
      <c r="I72" s="1"/>
    </row>
    <row r="73" spans="1:9">
      <c r="A73" s="42" t="s">
        <v>120</v>
      </c>
      <c r="B73" s="1" t="str">
        <f>IF(
       VLOOKUP(A73,
                            Data!$A$2:$F$97,
                            6,
                            FALSE)
        = "",
         "-",
         VLOOKUP(A73,
                              Data!$A$2:$F$97,
                              6,
                              FALSE)
         )</f>
        <v>-</v>
      </c>
      <c r="C73" s="10" t="s">
        <v>24</v>
      </c>
      <c r="D73" s="10" t="s">
        <v>125</v>
      </c>
      <c r="E73" s="10" t="s">
        <v>126</v>
      </c>
      <c r="F73" s="36" t="s">
        <v>127</v>
      </c>
      <c r="G73" s="1"/>
      <c r="H73" s="1"/>
      <c r="I73" s="1"/>
    </row>
    <row r="74" spans="1:9">
      <c r="A74" s="42" t="s">
        <v>121</v>
      </c>
      <c r="B74" s="1" t="str">
        <f>IF(
       VLOOKUP(A74,
                            Data!$A$2:$F$97,
                            6,
                            FALSE)
        = "",
         "-",
         VLOOKUP(A74,
                              Data!$A$2:$F$97,
                              6,
                              FALSE)
         )</f>
        <v>-</v>
      </c>
      <c r="C74" s="10" t="s">
        <v>24</v>
      </c>
      <c r="D74" s="10" t="s">
        <v>125</v>
      </c>
      <c r="E74" s="10" t="s">
        <v>126</v>
      </c>
      <c r="F74" s="36" t="s">
        <v>127</v>
      </c>
      <c r="G74" s="1"/>
      <c r="H74" s="1"/>
      <c r="I74" s="1"/>
    </row>
    <row r="75" spans="1:9">
      <c r="A75" s="42" t="s">
        <v>122</v>
      </c>
      <c r="B75" s="1" t="str">
        <f>IF(
       VLOOKUP(A75,
                            Data!$A$2:$F$97,
                            6,
                            FALSE)
        = "",
         "-",
         VLOOKUP(A75,
                              Data!$A$2:$F$97,
                              6,
                              FALSE)
         )</f>
        <v>-</v>
      </c>
      <c r="C75" s="10" t="s">
        <v>24</v>
      </c>
      <c r="D75" s="10" t="s">
        <v>125</v>
      </c>
      <c r="E75" s="10" t="s">
        <v>126</v>
      </c>
      <c r="F75" s="36" t="s">
        <v>127</v>
      </c>
      <c r="G75" s="1"/>
      <c r="H75" s="1"/>
      <c r="I75" s="1"/>
    </row>
    <row r="76" spans="1:9">
      <c r="A76" s="42" t="s">
        <v>123</v>
      </c>
      <c r="B76" s="1" t="str">
        <f>IF(
       VLOOKUP(A76,
                            Data!$A$2:$F$97,
                            6,
                            FALSE)
        = "",
         "-",
         VLOOKUP(A76,
                              Data!$A$2:$F$97,
                              6,
                              FALSE)
         )</f>
        <v>-</v>
      </c>
      <c r="C76" s="10" t="s">
        <v>24</v>
      </c>
      <c r="D76" s="10" t="s">
        <v>125</v>
      </c>
      <c r="E76" s="10" t="s">
        <v>126</v>
      </c>
      <c r="F76" s="36" t="s">
        <v>127</v>
      </c>
      <c r="G76" s="1"/>
      <c r="H76" s="1"/>
      <c r="I76" s="1"/>
    </row>
    <row r="77" spans="1:9">
      <c r="A77" s="42" t="s">
        <v>124</v>
      </c>
      <c r="B77" s="1" t="str">
        <f>IF(
       VLOOKUP(A77,
                            Data!$A$2:$F$97,
                            6,
                            FALSE)
        = "",
         "-",
         VLOOKUP(A77,
                              Data!$A$2:$F$97,
                              6,
                              FALSE)
         )</f>
        <v>-</v>
      </c>
      <c r="C77" s="10" t="s">
        <v>24</v>
      </c>
      <c r="D77" s="10" t="s">
        <v>125</v>
      </c>
      <c r="E77" s="10" t="s">
        <v>126</v>
      </c>
      <c r="F77" s="36" t="s">
        <v>127</v>
      </c>
      <c r="G77" s="1"/>
      <c r="H77" s="1"/>
      <c r="I77" s="1"/>
    </row>
    <row r="78" spans="1:9">
      <c r="A78" s="42" t="s">
        <v>0</v>
      </c>
      <c r="B78" s="1" t="str">
        <f>IF(
       VLOOKUP(A78,
                            Data!$A$2:$F$97,
                            6,
                            FALSE)
        = "",
         "-",
         VLOOKUP(A78,
                              Data!$A$2:$F$97,
                              6,
                              FALSE)
         )</f>
        <v>-</v>
      </c>
      <c r="C78" s="10" t="s">
        <v>24</v>
      </c>
      <c r="D78" s="10" t="s">
        <v>125</v>
      </c>
      <c r="E78" s="10" t="s">
        <v>126</v>
      </c>
      <c r="F78" s="36" t="s">
        <v>127</v>
      </c>
      <c r="G78" s="1"/>
      <c r="H78" s="1"/>
      <c r="I78" s="1"/>
    </row>
    <row r="79" spans="1:9">
      <c r="A79" s="42" t="s">
        <v>3</v>
      </c>
      <c r="B79" s="1" t="str">
        <f>IF(
       VLOOKUP(A79,
                            Data!$A$2:$F$97,
                            6,
                            FALSE)
        = "",
         "-",
         VLOOKUP(A79,
                              Data!$A$2:$F$97,
                              6,
                              FALSE)
         )</f>
        <v>-</v>
      </c>
      <c r="C79" s="10" t="s">
        <v>24</v>
      </c>
      <c r="D79" s="10" t="s">
        <v>125</v>
      </c>
      <c r="E79" s="10" t="s">
        <v>126</v>
      </c>
      <c r="F79" s="36" t="s">
        <v>127</v>
      </c>
      <c r="G79" s="1"/>
      <c r="H79" s="1"/>
      <c r="I79" s="1"/>
    </row>
    <row r="80" spans="1:9">
      <c r="A80" s="42" t="s">
        <v>6</v>
      </c>
      <c r="B80" s="1" t="str">
        <f>IF(
       VLOOKUP(A80,
                            Data!$A$2:$F$97,
                            6,
                            FALSE)
        = "",
         "-",
         VLOOKUP(A80,
                              Data!$A$2:$F$97,
                              6,
                              FALSE)
         )</f>
        <v>-</v>
      </c>
      <c r="C80" s="10" t="s">
        <v>24</v>
      </c>
      <c r="D80" s="10" t="s">
        <v>125</v>
      </c>
      <c r="E80" s="10" t="s">
        <v>126</v>
      </c>
      <c r="F80" s="36" t="s">
        <v>127</v>
      </c>
      <c r="G80" s="1"/>
      <c r="H80" s="1"/>
      <c r="I80" s="1"/>
    </row>
    <row r="81" spans="1:9">
      <c r="A81" s="42" t="s">
        <v>9</v>
      </c>
      <c r="B81" s="1" t="str">
        <f>IF(
       VLOOKUP(A81,
                            Data!$A$2:$F$97,
                            6,
                            FALSE)
        = "",
         "-",
         VLOOKUP(A81,
                              Data!$A$2:$F$97,
                              6,
                              FALSE)
         )</f>
        <v>-</v>
      </c>
      <c r="C81" s="10" t="s">
        <v>24</v>
      </c>
      <c r="D81" s="10" t="s">
        <v>125</v>
      </c>
      <c r="E81" s="10" t="s">
        <v>126</v>
      </c>
      <c r="F81" s="36" t="s">
        <v>127</v>
      </c>
      <c r="G81" s="1"/>
      <c r="H81" s="1"/>
      <c r="I81" s="1"/>
    </row>
    <row r="82" spans="1:9">
      <c r="A82" s="42" t="s">
        <v>12</v>
      </c>
      <c r="B82" s="1" t="str">
        <f>IF(
       VLOOKUP(A82,
                            Data!$A$2:$F$97,
                            6,
                            FALSE)
        = "",
         "-",
         VLOOKUP(A82,
                              Data!$A$2:$F$97,
                              6,
                              FALSE)
         )</f>
        <v>-</v>
      </c>
      <c r="C82" s="10" t="s">
        <v>24</v>
      </c>
      <c r="D82" s="10" t="s">
        <v>125</v>
      </c>
      <c r="E82" s="10" t="s">
        <v>126</v>
      </c>
      <c r="F82" s="36" t="s">
        <v>127</v>
      </c>
      <c r="G82" s="1"/>
      <c r="H82" s="1"/>
      <c r="I82" s="1"/>
    </row>
    <row r="83" spans="1:9">
      <c r="A83" s="42" t="s">
        <v>15</v>
      </c>
      <c r="B83" s="1" t="str">
        <f>IF(
       VLOOKUP(A83,
                            Data!$A$2:$F$97,
                            6,
                            FALSE)
        = "",
         "-",
         VLOOKUP(A83,
                              Data!$A$2:$F$97,
                              6,
                              FALSE)
         )</f>
        <v>-</v>
      </c>
      <c r="C83" s="10" t="s">
        <v>24</v>
      </c>
      <c r="D83" s="10" t="s">
        <v>125</v>
      </c>
      <c r="E83" s="10" t="s">
        <v>126</v>
      </c>
      <c r="F83" s="36" t="s">
        <v>127</v>
      </c>
      <c r="G83" s="1"/>
      <c r="H83" s="1"/>
      <c r="I83" s="1"/>
    </row>
    <row r="84" spans="1:9">
      <c r="A84" s="42" t="s">
        <v>18</v>
      </c>
      <c r="B84" s="1" t="str">
        <f>IF(
       VLOOKUP(A84,
                            Data!$A$2:$F$97,
                            6,
                            FALSE)
        = "",
         "-",
         VLOOKUP(A84,
                              Data!$A$2:$F$97,
                              6,
                              FALSE)
         )</f>
        <v>-</v>
      </c>
      <c r="C84" s="10" t="s">
        <v>24</v>
      </c>
      <c r="D84" s="10" t="s">
        <v>125</v>
      </c>
      <c r="E84" s="10" t="s">
        <v>126</v>
      </c>
      <c r="F84" s="36" t="s">
        <v>127</v>
      </c>
      <c r="G84" s="1"/>
      <c r="H84" s="1"/>
      <c r="I84" s="1"/>
    </row>
    <row r="85" spans="1:9">
      <c r="A85" s="42" t="s">
        <v>21</v>
      </c>
      <c r="B85" s="1" t="str">
        <f>IF(
       VLOOKUP(A85,
                            Data!$A$2:$F$97,
                            6,
                            FALSE)
        = "",
         "-",
         VLOOKUP(A85,
                              Data!$A$2:$F$97,
                              6,
                              FALSE)
         )</f>
        <v>-</v>
      </c>
      <c r="C85" s="10" t="s">
        <v>24</v>
      </c>
      <c r="D85" s="10" t="s">
        <v>125</v>
      </c>
      <c r="E85" s="10" t="s">
        <v>126</v>
      </c>
      <c r="F85" s="36" t="s">
        <v>127</v>
      </c>
      <c r="G85" s="1"/>
      <c r="H85" s="1"/>
      <c r="I85" s="1"/>
    </row>
    <row r="86" spans="1:9">
      <c r="A86" s="42" t="s">
        <v>1</v>
      </c>
      <c r="B86" s="1" t="str">
        <f>IF(
       VLOOKUP(A86,
                            Data!$A$2:$F$97,
                            6,
                            FALSE)
        = "",
         "-",
         VLOOKUP(A86,
                              Data!$A$2:$F$97,
                              6,
                              FALSE)
         )</f>
        <v>-</v>
      </c>
      <c r="C86" s="10" t="s">
        <v>24</v>
      </c>
      <c r="D86" s="10" t="s">
        <v>125</v>
      </c>
      <c r="E86" s="10" t="s">
        <v>126</v>
      </c>
      <c r="F86" s="36" t="s">
        <v>127</v>
      </c>
      <c r="G86" s="1"/>
      <c r="H86" s="1"/>
      <c r="I86" s="1"/>
    </row>
    <row r="87" spans="1:9">
      <c r="A87" s="42" t="s">
        <v>4</v>
      </c>
      <c r="B87" s="1" t="str">
        <f>IF(
       VLOOKUP(A87,
                            Data!$A$2:$F$97,
                            6,
                            FALSE)
        = "",
         "-",
         VLOOKUP(A87,
                              Data!$A$2:$F$97,
                              6,
                              FALSE)
         )</f>
        <v>-</v>
      </c>
      <c r="C87" s="10" t="s">
        <v>24</v>
      </c>
      <c r="D87" s="10" t="s">
        <v>125</v>
      </c>
      <c r="E87" s="10" t="s">
        <v>126</v>
      </c>
      <c r="F87" s="36" t="s">
        <v>127</v>
      </c>
      <c r="G87" s="1"/>
      <c r="H87" s="1"/>
      <c r="I87" s="1"/>
    </row>
    <row r="88" spans="1:9">
      <c r="A88" s="42" t="s">
        <v>7</v>
      </c>
      <c r="B88" s="1" t="str">
        <f>IF(
       VLOOKUP(A88,
                            Data!$A$2:$F$97,
                            6,
                            FALSE)
        = "",
         "-",
         VLOOKUP(A88,
                              Data!$A$2:$F$97,
                              6,
                              FALSE)
         )</f>
        <v>-</v>
      </c>
      <c r="C88" s="10" t="s">
        <v>24</v>
      </c>
      <c r="D88" s="10" t="s">
        <v>125</v>
      </c>
      <c r="E88" s="10" t="s">
        <v>126</v>
      </c>
      <c r="F88" s="36" t="s">
        <v>127</v>
      </c>
      <c r="G88" s="1"/>
      <c r="H88" s="1"/>
      <c r="I88" s="1"/>
    </row>
    <row r="89" spans="1:9">
      <c r="A89" s="42" t="s">
        <v>10</v>
      </c>
      <c r="B89" s="1" t="str">
        <f>IF(
       VLOOKUP(A89,
                            Data!$A$2:$F$97,
                            6,
                            FALSE)
        = "",
         "-",
         VLOOKUP(A89,
                              Data!$A$2:$F$97,
                              6,
                              FALSE)
         )</f>
        <v>-</v>
      </c>
      <c r="C89" s="10" t="s">
        <v>24</v>
      </c>
      <c r="D89" s="10" t="s">
        <v>125</v>
      </c>
      <c r="E89" s="10" t="s">
        <v>126</v>
      </c>
      <c r="F89" s="36" t="s">
        <v>127</v>
      </c>
      <c r="G89" s="1"/>
      <c r="H89" s="1"/>
      <c r="I89" s="1"/>
    </row>
    <row r="90" spans="1:9">
      <c r="A90" s="42" t="s">
        <v>13</v>
      </c>
      <c r="B90" s="1" t="str">
        <f>IF(
       VLOOKUP(A90,
                            Data!$A$2:$F$97,
                            6,
                            FALSE)
        = "",
         "-",
         VLOOKUP(A90,
                              Data!$A$2:$F$97,
                              6,
                              FALSE)
         )</f>
        <v>-</v>
      </c>
      <c r="C90" s="10" t="s">
        <v>24</v>
      </c>
      <c r="D90" s="10" t="s">
        <v>125</v>
      </c>
      <c r="E90" s="10" t="s">
        <v>126</v>
      </c>
      <c r="F90" s="36" t="s">
        <v>127</v>
      </c>
      <c r="G90" s="1"/>
      <c r="H90" s="1"/>
      <c r="I90" s="1"/>
    </row>
    <row r="91" spans="1:9">
      <c r="A91" s="42" t="s">
        <v>16</v>
      </c>
      <c r="B91" s="1" t="str">
        <f>IF(
       VLOOKUP(A91,
                            Data!$A$2:$F$97,
                            6,
                            FALSE)
        = "",
         "-",
         VLOOKUP(A91,
                              Data!$A$2:$F$97,
                              6,
                              FALSE)
         )</f>
        <v>-</v>
      </c>
      <c r="C91" s="10" t="s">
        <v>24</v>
      </c>
      <c r="D91" s="10" t="s">
        <v>125</v>
      </c>
      <c r="E91" s="10" t="s">
        <v>126</v>
      </c>
      <c r="F91" s="36" t="s">
        <v>127</v>
      </c>
      <c r="G91" s="1"/>
      <c r="H91" s="1"/>
      <c r="I91" s="1"/>
    </row>
    <row r="92" spans="1:9">
      <c r="A92" s="42" t="s">
        <v>19</v>
      </c>
      <c r="B92" s="1" t="str">
        <f>IF(
       VLOOKUP(A92,
                            Data!$A$2:$F$97,
                            6,
                            FALSE)
        = "",
         "-",
         VLOOKUP(A92,
                              Data!$A$2:$F$97,
                              6,
                              FALSE)
         )</f>
        <v>-</v>
      </c>
      <c r="C92" s="10" t="s">
        <v>24</v>
      </c>
      <c r="D92" s="10" t="s">
        <v>125</v>
      </c>
      <c r="E92" s="10" t="s">
        <v>126</v>
      </c>
      <c r="F92" s="36" t="s">
        <v>127</v>
      </c>
      <c r="G92" s="1"/>
      <c r="H92" s="1"/>
      <c r="I92" s="1"/>
    </row>
    <row r="93" spans="1:9">
      <c r="A93" s="42" t="s">
        <v>22</v>
      </c>
      <c r="B93" s="1" t="str">
        <f>IF(
       VLOOKUP(A93,
                            Data!$A$2:$F$97,
                            6,
                            FALSE)
        = "",
         "-",
         VLOOKUP(A93,
                              Data!$A$2:$F$97,
                              6,
                              FALSE)
         )</f>
        <v>-</v>
      </c>
      <c r="C93" s="10" t="s">
        <v>24</v>
      </c>
      <c r="D93" s="10" t="s">
        <v>125</v>
      </c>
      <c r="E93" s="10" t="s">
        <v>126</v>
      </c>
      <c r="F93" s="36" t="s">
        <v>127</v>
      </c>
      <c r="G93" s="1"/>
      <c r="H93" s="1"/>
      <c r="I93" s="1"/>
    </row>
    <row r="94" spans="1:9">
      <c r="A94" s="42" t="s">
        <v>2</v>
      </c>
      <c r="B94" s="1" t="str">
        <f>IF(
       VLOOKUP(A94,
                            Data!$A$2:$F$97,
                            6,
                            FALSE)
        = "",
         "-",
         VLOOKUP(A94,
                              Data!$A$2:$F$97,
                              6,
                              FALSE)
         )</f>
        <v>-</v>
      </c>
      <c r="C94" s="10" t="s">
        <v>24</v>
      </c>
      <c r="D94" s="10" t="s">
        <v>125</v>
      </c>
      <c r="E94" s="10" t="s">
        <v>126</v>
      </c>
      <c r="F94" s="36" t="s">
        <v>127</v>
      </c>
      <c r="G94" s="1"/>
      <c r="H94" s="1"/>
      <c r="I94" s="1"/>
    </row>
    <row r="95" spans="1:9">
      <c r="A95" s="42" t="s">
        <v>5</v>
      </c>
      <c r="B95" s="1" t="str">
        <f>IF(
       VLOOKUP(A95,
                            Data!$A$2:$F$97,
                            6,
                            FALSE)
        = "",
         "-",
         VLOOKUP(A95,
                              Data!$A$2:$F$97,
                              6,
                              FALSE)
         )</f>
        <v>-</v>
      </c>
      <c r="C95" s="10" t="s">
        <v>24</v>
      </c>
      <c r="D95" s="10" t="s">
        <v>125</v>
      </c>
      <c r="E95" s="10" t="s">
        <v>126</v>
      </c>
      <c r="F95" s="36" t="s">
        <v>127</v>
      </c>
      <c r="G95" s="1"/>
      <c r="H95" s="1"/>
      <c r="I95" s="1"/>
    </row>
    <row r="96" spans="1:9">
      <c r="A96" s="42" t="s">
        <v>8</v>
      </c>
      <c r="B96" s="51" t="str">
        <f>IF(
       VLOOKUP(A96,
                            Data!$A$2:$F$97,
                            6,
                            FALSE)
        = "",
         "-",
         VLOOKUP(A96,
                              Data!$A$2:$F$97,
                              6,
                              FALSE)
         )</f>
        <v>-</v>
      </c>
      <c r="C96" s="10" t="s">
        <v>24</v>
      </c>
      <c r="D96" s="10" t="s">
        <v>125</v>
      </c>
      <c r="E96" s="10" t="s">
        <v>126</v>
      </c>
      <c r="F96" s="36" t="s">
        <v>127</v>
      </c>
      <c r="G96" s="1"/>
      <c r="H96" s="1"/>
      <c r="I96" s="1"/>
    </row>
    <row r="97" spans="1:9">
      <c r="A97" s="42" t="s">
        <v>11</v>
      </c>
      <c r="B97" s="51" t="str">
        <f>IF(
       VLOOKUP(A97,
                            Data!$A$2:$F$97,
                            6,
                            FALSE)
        = "",
         "-",
         VLOOKUP(A97,
                              Data!$A$2:$F$97,
                              6,
                              FALSE)
         )</f>
        <v>-</v>
      </c>
      <c r="C97" s="10" t="s">
        <v>24</v>
      </c>
      <c r="D97" s="10" t="s">
        <v>125</v>
      </c>
      <c r="E97" s="10" t="s">
        <v>126</v>
      </c>
      <c r="F97" s="36" t="s">
        <v>127</v>
      </c>
      <c r="G97" s="1"/>
      <c r="H97" s="1"/>
      <c r="I97" s="1"/>
    </row>
    <row r="98" spans="1:9">
      <c r="A98" s="42" t="s">
        <v>14</v>
      </c>
      <c r="B98" s="51" t="str">
        <f>IF(
       VLOOKUP(A98,
                            Data!$A$2:$F$97,
                            6,
                            FALSE)
        = "",
         "-",
         VLOOKUP(A98,
                              Data!$A$2:$F$97,
                              6,
                              FALSE)
         )</f>
        <v>-</v>
      </c>
      <c r="C98" s="10" t="s">
        <v>24</v>
      </c>
      <c r="D98" s="10" t="s">
        <v>125</v>
      </c>
      <c r="E98" s="10" t="s">
        <v>126</v>
      </c>
      <c r="F98" s="36" t="s">
        <v>127</v>
      </c>
      <c r="G98" s="1"/>
      <c r="H98" s="1"/>
      <c r="I98" s="1"/>
    </row>
    <row r="99" spans="1:9">
      <c r="A99" s="42" t="s">
        <v>17</v>
      </c>
      <c r="B99" s="51" t="str">
        <f>IF(
       VLOOKUP(A99,
                            Data!$A$2:$F$97,
                            6,
                            FALSE)
        = "",
         "-",
         VLOOKUP(A99,
                              Data!$A$2:$F$97,
                              6,
                              FALSE)
         )</f>
        <v>-</v>
      </c>
      <c r="C99" s="10" t="s">
        <v>24</v>
      </c>
      <c r="D99" s="10" t="s">
        <v>125</v>
      </c>
      <c r="E99" s="10" t="s">
        <v>126</v>
      </c>
      <c r="F99" s="36" t="s">
        <v>127</v>
      </c>
      <c r="G99" s="1"/>
      <c r="H99" s="1"/>
      <c r="I99" s="1"/>
    </row>
    <row r="100" spans="1:9">
      <c r="A100" s="42" t="s">
        <v>20</v>
      </c>
      <c r="B100" s="51" t="str">
        <f>IF(
       VLOOKUP(A100,
                            Data!$A$2:$F$97,
                            6,
                            FALSE)
        = "",
         "-",
         VLOOKUP(A100,
                              Data!$A$2:$F$97,
                              6,
                              FALSE)
         )</f>
        <v>-</v>
      </c>
      <c r="C100" s="10" t="s">
        <v>24</v>
      </c>
      <c r="D100" s="10" t="s">
        <v>125</v>
      </c>
      <c r="E100" s="10" t="s">
        <v>126</v>
      </c>
      <c r="F100" s="36" t="s">
        <v>127</v>
      </c>
      <c r="G100" s="1"/>
      <c r="H100" s="1"/>
      <c r="I100" s="1"/>
    </row>
    <row r="101" spans="1:9" ht="13.5" thickBot="1">
      <c r="A101" s="47" t="s">
        <v>23</v>
      </c>
      <c r="B101" s="58" t="str">
        <f>IF(
       VLOOKUP(A101,
                            Data!$A$2:$F$97,
                            6,
                            FALSE)
        = "",
         "-",
         VLOOKUP(A101,
                              Data!$A$2:$F$97,
                              6,
                              FALSE)
         )</f>
        <v>-</v>
      </c>
      <c r="C101" s="37" t="s">
        <v>24</v>
      </c>
      <c r="D101" s="37" t="s">
        <v>125</v>
      </c>
      <c r="E101" s="37" t="s">
        <v>126</v>
      </c>
      <c r="F101" s="38" t="s">
        <v>127</v>
      </c>
      <c r="G101" s="1"/>
      <c r="H101" s="1"/>
      <c r="I101" s="1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Layout</vt:lpstr>
      <vt:lpstr>Layout (Simplified)</vt:lpstr>
      <vt:lpstr>FileNames</vt:lpstr>
      <vt:lpstr>Layout!Print_Area</vt:lpstr>
      <vt:lpstr>'Layout (Simplified)'!Print_Area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2026-03-15T19:33:43Z</cp:lastPrinted>
  <dcterms:created xsi:type="dcterms:W3CDTF">2010-10-27T14:39:46Z</dcterms:created>
  <dcterms:modified xsi:type="dcterms:W3CDTF">2026-03-17T20:54:27Z</dcterms:modified>
</cp:coreProperties>
</file>